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Thinkful\Capstone Project 3\"/>
    </mc:Choice>
  </mc:AlternateContent>
  <xr:revisionPtr revIDLastSave="0" documentId="13_ncr:1_{C957EE5F-A85A-4804-8701-2BE329A6643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2" r:id="rId1"/>
    <sheet name="Mall_Customers" sheetId="1" r:id="rId2"/>
    <sheet name="Age" sheetId="3" r:id="rId3"/>
  </sheets>
  <calcPr calcId="191029"/>
  <pivotCaches>
    <pivotCache cacheId="18" r:id="rId4"/>
    <pivotCache cacheId="44" r:id="rId5"/>
    <pivotCache cacheId="7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7" i="3" l="1"/>
  <c r="U59" i="3" s="1"/>
  <c r="T57" i="3"/>
  <c r="T59" i="3" s="1"/>
  <c r="P67" i="3"/>
  <c r="P69" i="3" s="1"/>
  <c r="P70" i="3" s="1"/>
  <c r="P66" i="3"/>
  <c r="P71" i="3" s="1"/>
  <c r="P65" i="3"/>
  <c r="U32" i="3"/>
  <c r="U34" i="3" s="1"/>
  <c r="T32" i="3"/>
  <c r="T34" i="3" s="1"/>
  <c r="P42" i="3"/>
  <c r="P44" i="3" s="1"/>
  <c r="P41" i="3"/>
  <c r="P40" i="3"/>
  <c r="U8" i="3"/>
  <c r="U10" i="3" s="1"/>
  <c r="T8" i="3"/>
  <c r="T10" i="3" s="1"/>
  <c r="P18" i="3"/>
  <c r="P20" i="3" s="1"/>
  <c r="P17" i="3"/>
  <c r="P16" i="3"/>
  <c r="T58" i="3" l="1"/>
  <c r="U58" i="3"/>
  <c r="P46" i="3"/>
  <c r="P45" i="3"/>
  <c r="T33" i="3"/>
  <c r="U33" i="3"/>
  <c r="P21" i="3"/>
  <c r="T9" i="3"/>
  <c r="U9" i="3"/>
  <c r="P22" i="3"/>
  <c r="I23" i="1" l="1"/>
  <c r="I22" i="1"/>
  <c r="I21" i="1"/>
  <c r="I20" i="1"/>
  <c r="Y32" i="1"/>
  <c r="Y34" i="1" s="1"/>
  <c r="X32" i="1"/>
  <c r="X34" i="1" s="1"/>
  <c r="T42" i="1"/>
  <c r="T44" i="1" s="1"/>
  <c r="T45" i="1" s="1"/>
  <c r="T41" i="1"/>
  <c r="T46" i="1" s="1"/>
  <c r="T40" i="1"/>
  <c r="X33" i="1" l="1"/>
  <c r="Y33" i="1"/>
  <c r="Y8" i="1"/>
  <c r="Y10" i="1" s="1"/>
  <c r="X8" i="1"/>
  <c r="X10" i="1" s="1"/>
  <c r="T18" i="1"/>
  <c r="T20" i="1" s="1"/>
  <c r="T21" i="1" s="1"/>
  <c r="T17" i="1"/>
  <c r="T22" i="1" s="1"/>
  <c r="T16" i="1"/>
  <c r="K8" i="1"/>
  <c r="J8" i="1"/>
  <c r="K7" i="1"/>
  <c r="K6" i="1"/>
  <c r="K5" i="1"/>
  <c r="J7" i="1"/>
  <c r="J6" i="1"/>
  <c r="J5" i="1"/>
  <c r="X9" i="1" l="1"/>
  <c r="Y9" i="1"/>
  <c r="I6" i="1"/>
  <c r="I5" i="1"/>
  <c r="I7" i="1"/>
  <c r="I8" i="1"/>
</calcChain>
</file>

<file path=xl/sharedStrings.xml><?xml version="1.0" encoding="utf-8"?>
<sst xmlns="http://schemas.openxmlformats.org/spreadsheetml/2006/main" count="940" uniqueCount="57">
  <si>
    <t>CustomerID</t>
  </si>
  <si>
    <t>Gender</t>
  </si>
  <si>
    <t>Age</t>
  </si>
  <si>
    <t>Annual Income (k$)</t>
  </si>
  <si>
    <t>Spending Score (1-100)</t>
  </si>
  <si>
    <t>Male</t>
  </si>
  <si>
    <t>Female</t>
  </si>
  <si>
    <t>Spending Score: Score assigned by the mall based on customer behavior and spending nature</t>
  </si>
  <si>
    <t>Mall Customers</t>
  </si>
  <si>
    <t>Row Labels</t>
  </si>
  <si>
    <t>Grand Total</t>
  </si>
  <si>
    <t>Age Range</t>
  </si>
  <si>
    <t>18 - 30</t>
  </si>
  <si>
    <t>31 - 40</t>
  </si>
  <si>
    <t>41 - 50</t>
  </si>
  <si>
    <t>&gt;50</t>
  </si>
  <si>
    <t>Spending Score</t>
  </si>
  <si>
    <t>Count by age range</t>
  </si>
  <si>
    <t>Annual Income</t>
  </si>
  <si>
    <t>Customer Count</t>
  </si>
  <si>
    <t>Test/Control</t>
  </si>
  <si>
    <t>Test</t>
  </si>
  <si>
    <t>Control</t>
  </si>
  <si>
    <t>Sum of Spending Score</t>
  </si>
  <si>
    <t>Females</t>
  </si>
  <si>
    <t>Males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</si>
  <si>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</si>
  <si>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</si>
  <si>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</si>
  <si>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</si>
  <si>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</si>
  <si>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</si>
  <si>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</si>
  <si>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</si>
  <si>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</si>
  <si>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</si>
  <si>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</si>
  <si>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Female Spending</t>
  </si>
  <si>
    <t>Male Spending</t>
  </si>
  <si>
    <t>Male Spend</t>
  </si>
  <si>
    <t>Female Spend</t>
  </si>
  <si>
    <t>Total Sample Size</t>
  </si>
  <si>
    <t>Mean Difference</t>
  </si>
  <si>
    <t>Standard Error of Difference</t>
  </si>
  <si>
    <t>margin of error</t>
  </si>
  <si>
    <t>c.i. lower</t>
  </si>
  <si>
    <t>c.i. upper</t>
  </si>
  <si>
    <t>Standard error</t>
  </si>
  <si>
    <t>Income</t>
  </si>
  <si>
    <t>Spending</t>
  </si>
  <si>
    <t>Male vs Female Spending</t>
  </si>
  <si>
    <t>Income vs Spending</t>
  </si>
  <si>
    <t>ID</t>
  </si>
  <si>
    <t>Age 18 - 30</t>
  </si>
  <si>
    <t>Age &gt;=50</t>
  </si>
  <si>
    <t>Age 31 - 40</t>
  </si>
  <si>
    <t>Ages 41 - 50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</si>
</sst>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33" borderId="0" xfId="0" applyFill="1" applyBorder="1" applyAlignment="1"/>
    <xf numFmtId="0" fontId="16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vs Female Spending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6C-4324-AC3D-89ED8260FE1C}"/>
              </c:ext>
            </c:extLst>
          </c:dPt>
          <c:errBars>
            <c:errBarType val="both"/>
            <c:errValType val="cust"/>
            <c:noEndCap val="0"/>
            <c:plus>
              <c:numRef>
                <c:f>Mall_Customers!$X$18:$Y$18</c:f>
                <c:numCache>
                  <c:formatCode>General</c:formatCode>
                  <c:ptCount val="2"/>
                  <c:pt idx="0">
                    <c:v>5.8696123178878103</c:v>
                  </c:pt>
                  <c:pt idx="1">
                    <c:v>4.4975312550723601</c:v>
                  </c:pt>
                </c:numCache>
              </c:numRef>
            </c:plus>
            <c:minus>
              <c:numRef>
                <c:f>Mall_Customers!$X$19:$Y$19</c:f>
                <c:numCache>
                  <c:formatCode>General</c:formatCode>
                  <c:ptCount val="2"/>
                  <c:pt idx="0">
                    <c:v>5.8696123178878103</c:v>
                  </c:pt>
                  <c:pt idx="1">
                    <c:v>4.4975312550723601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Mall_Customers!$X$13:$Y$13</c:f>
              <c:strCache>
                <c:ptCount val="2"/>
                <c:pt idx="0">
                  <c:v>Male Spend</c:v>
                </c:pt>
                <c:pt idx="1">
                  <c:v>Female Spend</c:v>
                </c:pt>
              </c:strCache>
            </c:strRef>
          </c:cat>
          <c:val>
            <c:numRef>
              <c:f>Mall_Customers!$X$14:$Y$14</c:f>
              <c:numCache>
                <c:formatCode>General</c:formatCode>
                <c:ptCount val="2"/>
                <c:pt idx="0">
                  <c:v>48.511363636363633</c:v>
                </c:pt>
                <c:pt idx="1">
                  <c:v>51.526785714285715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C-4324-AC3D-89ED8260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017720"/>
        <c:axId val="913023624"/>
      </c:barChart>
      <c:catAx>
        <c:axId val="91301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23624"/>
        <c:crosses val="autoZero"/>
        <c:auto val="1"/>
        <c:lblAlgn val="ctr"/>
        <c:lblOffset val="100"/>
        <c:noMultiLvlLbl val="0"/>
      </c:catAx>
      <c:valAx>
        <c:axId val="91302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1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Spending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21-4935-9C33-7EFA2545041C}"/>
              </c:ext>
            </c:extLst>
          </c:dPt>
          <c:errBars>
            <c:errBarType val="both"/>
            <c:errValType val="cust"/>
            <c:noEndCap val="0"/>
            <c:plus>
              <c:numRef>
                <c:f>Mall_Customers!$X$42:$Y$42</c:f>
                <c:numCache>
                  <c:formatCode>General</c:formatCode>
                  <c:ptCount val="2"/>
                  <c:pt idx="0">
                    <c:v>3.6511407003901657</c:v>
                  </c:pt>
                  <c:pt idx="1">
                    <c:v>3.5898081840466394</c:v>
                  </c:pt>
                </c:numCache>
              </c:numRef>
            </c:plus>
            <c:minus>
              <c:numRef>
                <c:f>Mall_Customers!$X$43:$Y$43</c:f>
                <c:numCache>
                  <c:formatCode>General</c:formatCode>
                  <c:ptCount val="2"/>
                  <c:pt idx="0">
                    <c:v>3.6511407003901657</c:v>
                  </c:pt>
                  <c:pt idx="1">
                    <c:v>3.5898081840466394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Mall_Customers!$X$37:$Y$37</c:f>
              <c:strCache>
                <c:ptCount val="2"/>
                <c:pt idx="0">
                  <c:v>Income</c:v>
                </c:pt>
                <c:pt idx="1">
                  <c:v>Spending</c:v>
                </c:pt>
              </c:strCache>
            </c:strRef>
          </c:cat>
          <c:val>
            <c:numRef>
              <c:f>Mall_Customers!$X$38:$Y$38</c:f>
              <c:numCache>
                <c:formatCode>General</c:formatCode>
                <c:ptCount val="2"/>
                <c:pt idx="0">
                  <c:v>60.56</c:v>
                </c:pt>
                <c:pt idx="1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1-4935-9C33-7EFA25450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760960"/>
        <c:axId val="940241776"/>
      </c:barChart>
      <c:catAx>
        <c:axId val="94176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41776"/>
        <c:crosses val="autoZero"/>
        <c:auto val="1"/>
        <c:lblAlgn val="ctr"/>
        <c:lblOffset val="100"/>
        <c:noMultiLvlLbl val="0"/>
      </c:catAx>
      <c:valAx>
        <c:axId val="9402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6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Spending:</a:t>
            </a:r>
            <a:r>
              <a:rPr lang="en-US" baseline="0"/>
              <a:t> </a:t>
            </a:r>
            <a:r>
              <a:rPr lang="en-US"/>
              <a:t>Ages 18 - 30 vs 50 &amp; 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38-480F-A5DA-4B5660C96A9F}"/>
              </c:ext>
            </c:extLst>
          </c:dPt>
          <c:errBars>
            <c:errBarType val="both"/>
            <c:errValType val="cust"/>
            <c:noEndCap val="0"/>
            <c:plus>
              <c:numRef>
                <c:f>Age!$T$18:$U$18</c:f>
                <c:numCache>
                  <c:formatCode>General</c:formatCode>
                  <c:ptCount val="2"/>
                  <c:pt idx="0">
                    <c:v>5.6334172436974974</c:v>
                  </c:pt>
                  <c:pt idx="1">
                    <c:v>5.8905539823683144</c:v>
                  </c:pt>
                </c:numCache>
              </c:numRef>
            </c:plus>
            <c:minus>
              <c:numRef>
                <c:f>Age!$T$19:$U$19</c:f>
                <c:numCache>
                  <c:formatCode>General</c:formatCode>
                  <c:ptCount val="2"/>
                  <c:pt idx="0">
                    <c:v>5.6334172436974974</c:v>
                  </c:pt>
                  <c:pt idx="1">
                    <c:v>5.8905539823683144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Age!$T$13:$U$13</c:f>
              <c:strCache>
                <c:ptCount val="2"/>
                <c:pt idx="0">
                  <c:v>Age 18 - 30</c:v>
                </c:pt>
                <c:pt idx="1">
                  <c:v>Age &gt;=50</c:v>
                </c:pt>
              </c:strCache>
            </c:strRef>
          </c:cat>
          <c:val>
            <c:numRef>
              <c:f>Age!$T$14:$U$14</c:f>
              <c:numCache>
                <c:formatCode>General</c:formatCode>
                <c:ptCount val="2"/>
                <c:pt idx="0">
                  <c:v>59.895522388059703</c:v>
                </c:pt>
                <c:pt idx="1">
                  <c:v>37.475000000000001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8-480F-A5DA-4B5660C96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758376"/>
        <c:axId val="822765920"/>
      </c:barChart>
      <c:catAx>
        <c:axId val="82275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65920"/>
        <c:crosses val="autoZero"/>
        <c:auto val="1"/>
        <c:lblAlgn val="ctr"/>
        <c:lblOffset val="100"/>
        <c:noMultiLvlLbl val="0"/>
      </c:catAx>
      <c:valAx>
        <c:axId val="82276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5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Spending: Ages 18-30</a:t>
            </a:r>
            <a:r>
              <a:rPr lang="en-US" baseline="0"/>
              <a:t> vs 31 - 40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CD-4916-B66C-E19A1D67639B}"/>
              </c:ext>
            </c:extLst>
          </c:dPt>
          <c:errBars>
            <c:errBarType val="both"/>
            <c:errValType val="cust"/>
            <c:noEndCap val="0"/>
            <c:plus>
              <c:numRef>
                <c:f>Age!$T$42:$U$42</c:f>
                <c:numCache>
                  <c:formatCode>General</c:formatCode>
                  <c:ptCount val="2"/>
                  <c:pt idx="0">
                    <c:v>5.9344097700970444</c:v>
                  </c:pt>
                  <c:pt idx="1">
                    <c:v>7.3846992053404463</c:v>
                  </c:pt>
                </c:numCache>
              </c:numRef>
            </c:plus>
            <c:minus>
              <c:numRef>
                <c:f>Age!$T$43:$U$43</c:f>
                <c:numCache>
                  <c:formatCode>General</c:formatCode>
                  <c:ptCount val="2"/>
                  <c:pt idx="0">
                    <c:v>5.9344097700970444</c:v>
                  </c:pt>
                  <c:pt idx="1">
                    <c:v>7.3846992053404463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Age!$T$37:$U$37</c:f>
              <c:strCache>
                <c:ptCount val="2"/>
                <c:pt idx="0">
                  <c:v>Age 18 - 30</c:v>
                </c:pt>
                <c:pt idx="1">
                  <c:v>Age 31 - 40</c:v>
                </c:pt>
              </c:strCache>
            </c:strRef>
          </c:cat>
          <c:val>
            <c:numRef>
              <c:f>Age!$T$38:$U$38</c:f>
              <c:numCache>
                <c:formatCode>General</c:formatCode>
                <c:ptCount val="2"/>
                <c:pt idx="0">
                  <c:v>61.032258064516128</c:v>
                </c:pt>
                <c:pt idx="1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D-4916-B66C-E19A1D67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260616"/>
        <c:axId val="939266520"/>
      </c:barChart>
      <c:catAx>
        <c:axId val="93926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66520"/>
        <c:crosses val="autoZero"/>
        <c:auto val="1"/>
        <c:lblAlgn val="ctr"/>
        <c:lblOffset val="100"/>
        <c:noMultiLvlLbl val="0"/>
      </c:catAx>
      <c:valAx>
        <c:axId val="93926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60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Spending: Ages 31-40 vs 41-50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D2-40B4-BA93-48D24FE1969E}"/>
              </c:ext>
            </c:extLst>
          </c:dPt>
          <c:errBars>
            <c:errBarType val="both"/>
            <c:errValType val="cust"/>
            <c:noEndCap val="0"/>
            <c:plus>
              <c:numRef>
                <c:f>Age!$T$67:$U$67</c:f>
                <c:numCache>
                  <c:formatCode>General</c:formatCode>
                  <c:ptCount val="2"/>
                  <c:pt idx="0">
                    <c:v>7.4015903031622141</c:v>
                  </c:pt>
                  <c:pt idx="1">
                    <c:v>5.0945438346821561</c:v>
                  </c:pt>
                </c:numCache>
              </c:numRef>
            </c:plus>
            <c:minus>
              <c:numRef>
                <c:f>Age!$T$68:$U$68</c:f>
                <c:numCache>
                  <c:formatCode>General</c:formatCode>
                  <c:ptCount val="2"/>
                  <c:pt idx="0">
                    <c:v>7.4015903031622141</c:v>
                  </c:pt>
                  <c:pt idx="1">
                    <c:v>5.0945438346821561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Age!$T$62:$U$62</c:f>
              <c:strCache>
                <c:ptCount val="2"/>
                <c:pt idx="0">
                  <c:v>Age 31 - 40</c:v>
                </c:pt>
                <c:pt idx="1">
                  <c:v>Ages 41 - 50</c:v>
                </c:pt>
              </c:strCache>
            </c:strRef>
          </c:cat>
          <c:val>
            <c:numRef>
              <c:f>Age!$T$63:$U$63</c:f>
              <c:numCache>
                <c:formatCode>General</c:formatCode>
                <c:ptCount val="2"/>
                <c:pt idx="0">
                  <c:v>57.5</c:v>
                </c:pt>
                <c:pt idx="1">
                  <c:v>33.729729729729726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2-40B4-BA93-48D24FE19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212160"/>
        <c:axId val="459212488"/>
      </c:barChart>
      <c:catAx>
        <c:axId val="4592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12488"/>
        <c:crosses val="autoZero"/>
        <c:auto val="1"/>
        <c:lblAlgn val="ctr"/>
        <c:lblOffset val="100"/>
        <c:noMultiLvlLbl val="0"/>
      </c:catAx>
      <c:valAx>
        <c:axId val="45921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1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9525</xdr:colOff>
      <xdr:row>2</xdr:row>
      <xdr:rowOff>147637</xdr:rowOff>
    </xdr:from>
    <xdr:to>
      <xdr:col>33</xdr:col>
      <xdr:colOff>314325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1D214-E83A-4458-84D9-1A6CDFA4F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26</xdr:row>
      <xdr:rowOff>176212</xdr:rowOff>
    </xdr:from>
    <xdr:to>
      <xdr:col>33</xdr:col>
      <xdr:colOff>304800</xdr:colOff>
      <xdr:row>41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2ABD6-8B5E-4370-9729-1BC49DE55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276225</xdr:colOff>
      <xdr:row>2</xdr:row>
      <xdr:rowOff>195262</xdr:rowOff>
    </xdr:from>
    <xdr:to>
      <xdr:col>28</xdr:col>
      <xdr:colOff>581025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01DB4-8E53-4A3D-8F9B-B70A79CEA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600075</xdr:colOff>
      <xdr:row>27</xdr:row>
      <xdr:rowOff>4762</xdr:rowOff>
    </xdr:from>
    <xdr:to>
      <xdr:col>29</xdr:col>
      <xdr:colOff>295275</xdr:colOff>
      <xdr:row>41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33F68-5554-4C01-B038-B501E6D37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51</xdr:row>
      <xdr:rowOff>195262</xdr:rowOff>
    </xdr:from>
    <xdr:to>
      <xdr:col>29</xdr:col>
      <xdr:colOff>314325</xdr:colOff>
      <xdr:row>66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0ED5AA-0FAB-4C55-969A-C8E04550C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4495.618795833332" createdVersion="7" refreshedVersion="7" minRefreshableVersion="3" recordCount="200" xr:uid="{00000000-000A-0000-FFFF-FFFF36000000}">
  <cacheSource type="worksheet">
    <worksheetSource ref="A4:E204" sheet="Mall_Customers"/>
  </cacheSource>
  <cacheFields count="5">
    <cacheField name="CustomerID" numFmtId="0">
      <sharedItems containsSemiMixedTypes="0" containsString="0" containsNumber="1" containsInteger="1" minValue="1" maxValue="200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0" count="51">
        <n v="19"/>
        <n v="21"/>
        <n v="20"/>
        <n v="23"/>
        <n v="31"/>
        <n v="22"/>
        <n v="35"/>
        <n v="64"/>
        <n v="30"/>
        <n v="67"/>
        <n v="58"/>
        <n v="24"/>
        <n v="37"/>
        <n v="52"/>
        <n v="25"/>
        <n v="46"/>
        <n v="54"/>
        <n v="29"/>
        <n v="45"/>
        <n v="40"/>
        <n v="60"/>
        <n v="53"/>
        <n v="18"/>
        <n v="49"/>
        <n v="42"/>
        <n v="36"/>
        <n v="65"/>
        <n v="48"/>
        <n v="50"/>
        <n v="27"/>
        <n v="33"/>
        <n v="59"/>
        <n v="47"/>
        <n v="51"/>
        <n v="69"/>
        <n v="70"/>
        <n v="63"/>
        <n v="43"/>
        <n v="68"/>
        <n v="32"/>
        <n v="26"/>
        <n v="57"/>
        <n v="38"/>
        <n v="55"/>
        <n v="34"/>
        <n v="66"/>
        <n v="39"/>
        <n v="44"/>
        <n v="28"/>
        <n v="56"/>
        <n v="41"/>
      </sharedItems>
    </cacheField>
    <cacheField name="Annual Income (k$)" numFmtId="0">
      <sharedItems containsSemiMixedTypes="0" containsString="0" containsNumber="1" containsInteger="1" minValue="15" maxValue="137"/>
    </cacheField>
    <cacheField name="Spending Score (1-100)" numFmtId="0">
      <sharedItems containsSemiMixedTypes="0" containsString="0" containsNumber="1" containsInteger="1" minValue="1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4495.964814930558" createdVersion="7" refreshedVersion="7" minRefreshableVersion="3" recordCount="200" xr:uid="{97A4DF57-70F0-43AF-AE6B-9A35151B1D60}">
  <cacheSource type="worksheet">
    <worksheetSource ref="A4:F204" sheet="Mall_Customers"/>
  </cacheSource>
  <cacheFields count="6">
    <cacheField name="CustomerID" numFmtId="0">
      <sharedItems containsSemiMixedTypes="0" containsString="0" containsNumber="1" containsInteger="1" minValue="1" maxValue="200" count="200">
        <n v="34"/>
        <n v="66"/>
        <n v="92"/>
        <n v="115"/>
        <n v="1"/>
        <n v="62"/>
        <n v="69"/>
        <n v="112"/>
        <n v="114"/>
        <n v="116"/>
        <n v="139"/>
        <n v="163"/>
        <n v="3"/>
        <n v="18"/>
        <n v="40"/>
        <n v="100"/>
        <n v="135"/>
        <n v="2"/>
        <n v="32"/>
        <n v="36"/>
        <n v="85"/>
        <n v="106"/>
        <n v="6"/>
        <n v="16"/>
        <n v="88"/>
        <n v="4"/>
        <n v="8"/>
        <n v="30"/>
        <n v="79"/>
        <n v="101"/>
        <n v="125"/>
        <n v="14"/>
        <n v="42"/>
        <n v="46"/>
        <n v="96"/>
        <n v="22"/>
        <n v="133"/>
        <n v="145"/>
        <n v="76"/>
        <n v="104"/>
        <n v="48"/>
        <n v="59"/>
        <n v="98"/>
        <n v="121"/>
        <n v="156"/>
        <n v="178"/>
        <n v="143"/>
        <n v="146"/>
        <n v="172"/>
        <n v="188"/>
        <n v="26"/>
        <n v="49"/>
        <n v="136"/>
        <n v="162"/>
        <n v="184"/>
        <n v="10"/>
        <n v="38"/>
        <n v="158"/>
        <n v="160"/>
        <n v="176"/>
        <n v="186"/>
        <n v="200"/>
        <n v="5"/>
        <n v="24"/>
        <n v="44"/>
        <n v="50"/>
        <n v="53"/>
        <n v="126"/>
        <n v="134"/>
        <n v="164"/>
        <n v="70"/>
        <n v="95"/>
        <n v="138"/>
        <n v="142"/>
        <n v="144"/>
        <n v="148"/>
        <n v="170"/>
        <n v="182"/>
        <n v="192"/>
        <n v="198"/>
        <n v="199"/>
        <n v="52"/>
        <n v="168"/>
        <n v="193"/>
        <n v="89"/>
        <n v="149"/>
        <n v="150"/>
        <n v="159"/>
        <n v="191"/>
        <n v="7"/>
        <n v="12"/>
        <n v="17"/>
        <n v="20"/>
        <n v="21"/>
        <n v="28"/>
        <n v="140"/>
        <n v="180"/>
        <n v="196"/>
        <n v="39"/>
        <n v="166"/>
        <n v="169"/>
        <n v="173"/>
        <n v="174"/>
        <n v="190"/>
        <n v="15"/>
        <n v="157"/>
        <n v="181"/>
        <n v="82"/>
        <n v="113"/>
        <n v="122"/>
        <n v="130"/>
        <n v="154"/>
        <n v="194"/>
        <n v="124"/>
        <n v="132"/>
        <n v="152"/>
        <n v="29"/>
        <n v="78"/>
        <n v="94"/>
        <n v="123"/>
        <n v="128"/>
        <n v="171"/>
        <n v="185"/>
        <n v="189"/>
        <n v="37"/>
        <n v="167"/>
        <n v="67"/>
        <n v="127"/>
        <n v="151"/>
        <n v="137"/>
        <n v="153"/>
        <n v="27"/>
        <n v="77"/>
        <n v="197"/>
        <n v="23"/>
        <n v="84"/>
        <n v="183"/>
        <n v="56"/>
        <n v="72"/>
        <n v="97"/>
        <n v="131"/>
        <n v="155"/>
        <n v="195"/>
        <n v="43"/>
        <n v="86"/>
        <n v="93"/>
        <n v="99"/>
        <n v="147"/>
        <n v="35"/>
        <n v="45"/>
        <n v="51"/>
        <n v="80"/>
        <n v="102"/>
        <n v="105"/>
        <n v="118"/>
        <n v="47"/>
        <n v="55"/>
        <n v="90"/>
        <n v="120"/>
        <n v="165"/>
        <n v="57"/>
        <n v="119"/>
        <n v="19"/>
        <n v="175"/>
        <n v="33"/>
        <n v="60"/>
        <n v="25"/>
        <n v="64"/>
        <n v="108"/>
        <n v="187"/>
        <n v="87"/>
        <n v="161"/>
        <n v="81"/>
        <n v="141"/>
        <n v="13"/>
        <n v="177"/>
        <n v="54"/>
        <n v="75"/>
        <n v="129"/>
        <n v="179"/>
        <n v="31"/>
        <n v="73"/>
        <n v="74"/>
        <n v="65"/>
        <n v="117"/>
        <n v="9"/>
        <n v="41"/>
        <n v="111"/>
        <n v="107"/>
        <n v="110"/>
        <n v="11"/>
        <n v="63"/>
        <n v="83"/>
        <n v="103"/>
        <n v="68"/>
        <n v="91"/>
        <n v="109"/>
        <n v="58"/>
        <n v="61"/>
        <n v="71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0"/>
    </cacheField>
    <cacheField name="Annual Income" numFmtId="0">
      <sharedItems containsSemiMixedTypes="0" containsString="0" containsNumber="1" containsInteger="1" minValue="15" maxValue="137"/>
    </cacheField>
    <cacheField name="Spending Score" numFmtId="0">
      <sharedItems containsSemiMixedTypes="0" containsString="0" containsNumber="1" containsInteger="1" minValue="1" maxValue="99"/>
    </cacheField>
    <cacheField name="Test/Control" numFmtId="0">
      <sharedItems containsMixedTypes="1" containsNumber="1" containsInteger="1" minValue="1728" maxValue="1728" count="3">
        <s v="Test"/>
        <s v="Control"/>
        <n v="1728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4496.00014733796" createdVersion="7" refreshedVersion="7" minRefreshableVersion="3" recordCount="97" xr:uid="{5B8E8C31-7462-468E-82D4-585FC6F78197}">
  <cacheSource type="worksheet">
    <worksheetSource ref="A4:F101" sheet="Age"/>
  </cacheSource>
  <cacheFields count="6">
    <cacheField name="ID" numFmtId="0">
      <sharedItems containsSemiMixedTypes="0" containsString="0" containsNumber="1" containsInteger="1" minValue="5" maxValue="199" count="97">
        <n v="5"/>
        <n v="24"/>
        <n v="44"/>
        <n v="50"/>
        <n v="53"/>
        <n v="126"/>
        <n v="134"/>
        <n v="164"/>
        <n v="70"/>
        <n v="95"/>
        <n v="138"/>
        <n v="142"/>
        <n v="144"/>
        <n v="148"/>
        <n v="170"/>
        <n v="182"/>
        <n v="192"/>
        <n v="198"/>
        <n v="199"/>
        <n v="52"/>
        <n v="168"/>
        <n v="193"/>
        <n v="89"/>
        <n v="149"/>
        <n v="150"/>
        <n v="159"/>
        <n v="191"/>
        <n v="7"/>
        <n v="12"/>
        <n v="17"/>
        <n v="20"/>
        <n v="21"/>
        <n v="28"/>
        <n v="140"/>
        <n v="180"/>
        <n v="196"/>
        <n v="39"/>
        <n v="166"/>
        <n v="169"/>
        <n v="173"/>
        <n v="174"/>
        <n v="190"/>
        <n v="15"/>
        <n v="157"/>
        <n v="181"/>
        <n v="82"/>
        <n v="113"/>
        <n v="122"/>
        <n v="130"/>
        <n v="154"/>
        <n v="194"/>
        <n v="124"/>
        <n v="132"/>
        <n v="152"/>
        <n v="29"/>
        <n v="78"/>
        <n v="94"/>
        <n v="123"/>
        <n v="128"/>
        <n v="171"/>
        <n v="185"/>
        <n v="189"/>
        <n v="37"/>
        <n v="167"/>
        <n v="67"/>
        <n v="127"/>
        <n v="151"/>
        <n v="137"/>
        <n v="153"/>
        <n v="27"/>
        <n v="77"/>
        <n v="197"/>
        <n v="23"/>
        <n v="84"/>
        <n v="183"/>
        <n v="56"/>
        <n v="72"/>
        <n v="97"/>
        <n v="131"/>
        <n v="155"/>
        <n v="195"/>
        <n v="43"/>
        <n v="86"/>
        <n v="93"/>
        <n v="99"/>
        <n v="147"/>
        <n v="35"/>
        <n v="45"/>
        <n v="51"/>
        <n v="80"/>
        <n v="102"/>
        <n v="105"/>
        <n v="47"/>
        <n v="55"/>
        <n v="90"/>
        <n v="120"/>
        <n v="165"/>
      </sharedItems>
    </cacheField>
    <cacheField name="Age" numFmtId="0">
      <sharedItems containsSemiMixedTypes="0" containsString="0" containsNumber="1" containsInteger="1" minValue="31" maxValue="50"/>
    </cacheField>
    <cacheField name="Spending Score" numFmtId="0">
      <sharedItems containsSemiMixedTypes="0" containsString="0" containsNumber="1" containsInteger="1" minValue="1" maxValue="99"/>
    </cacheField>
    <cacheField name="Annual Income" numFmtId="0">
      <sharedItems containsSemiMixedTypes="0" containsString="0" containsNumber="1" containsInteger="1" minValue="17" maxValue="137"/>
    </cacheField>
    <cacheField name="Spending Score2" numFmtId="0">
      <sharedItems containsSemiMixedTypes="0" containsString="0" containsNumber="1" containsInteger="1" minValue="1" maxValue="99"/>
    </cacheField>
    <cacheField name="Test/Control" numFmtId="0">
      <sharedItems count="2">
        <s v="Test"/>
        <s v="Contr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x v="0"/>
    <x v="0"/>
    <n v="15"/>
    <n v="39"/>
  </r>
  <r>
    <n v="2"/>
    <x v="0"/>
    <x v="1"/>
    <n v="15"/>
    <n v="81"/>
  </r>
  <r>
    <n v="3"/>
    <x v="1"/>
    <x v="2"/>
    <n v="16"/>
    <n v="6"/>
  </r>
  <r>
    <n v="4"/>
    <x v="1"/>
    <x v="3"/>
    <n v="16"/>
    <n v="77"/>
  </r>
  <r>
    <n v="5"/>
    <x v="1"/>
    <x v="4"/>
    <n v="17"/>
    <n v="40"/>
  </r>
  <r>
    <n v="6"/>
    <x v="1"/>
    <x v="5"/>
    <n v="17"/>
    <n v="76"/>
  </r>
  <r>
    <n v="7"/>
    <x v="1"/>
    <x v="6"/>
    <n v="18"/>
    <n v="6"/>
  </r>
  <r>
    <n v="8"/>
    <x v="1"/>
    <x v="3"/>
    <n v="18"/>
    <n v="94"/>
  </r>
  <r>
    <n v="9"/>
    <x v="0"/>
    <x v="7"/>
    <n v="19"/>
    <n v="3"/>
  </r>
  <r>
    <n v="10"/>
    <x v="1"/>
    <x v="8"/>
    <n v="19"/>
    <n v="72"/>
  </r>
  <r>
    <n v="11"/>
    <x v="0"/>
    <x v="9"/>
    <n v="19"/>
    <n v="14"/>
  </r>
  <r>
    <n v="12"/>
    <x v="1"/>
    <x v="6"/>
    <n v="19"/>
    <n v="99"/>
  </r>
  <r>
    <n v="13"/>
    <x v="1"/>
    <x v="10"/>
    <n v="20"/>
    <n v="15"/>
  </r>
  <r>
    <n v="14"/>
    <x v="1"/>
    <x v="11"/>
    <n v="20"/>
    <n v="77"/>
  </r>
  <r>
    <n v="15"/>
    <x v="0"/>
    <x v="12"/>
    <n v="20"/>
    <n v="13"/>
  </r>
  <r>
    <n v="16"/>
    <x v="0"/>
    <x v="5"/>
    <n v="20"/>
    <n v="79"/>
  </r>
  <r>
    <n v="17"/>
    <x v="1"/>
    <x v="6"/>
    <n v="21"/>
    <n v="35"/>
  </r>
  <r>
    <n v="18"/>
    <x v="0"/>
    <x v="2"/>
    <n v="21"/>
    <n v="66"/>
  </r>
  <r>
    <n v="19"/>
    <x v="0"/>
    <x v="13"/>
    <n v="23"/>
    <n v="29"/>
  </r>
  <r>
    <n v="20"/>
    <x v="1"/>
    <x v="6"/>
    <n v="23"/>
    <n v="98"/>
  </r>
  <r>
    <n v="21"/>
    <x v="0"/>
    <x v="6"/>
    <n v="24"/>
    <n v="35"/>
  </r>
  <r>
    <n v="22"/>
    <x v="0"/>
    <x v="14"/>
    <n v="24"/>
    <n v="73"/>
  </r>
  <r>
    <n v="23"/>
    <x v="1"/>
    <x v="15"/>
    <n v="25"/>
    <n v="5"/>
  </r>
  <r>
    <n v="24"/>
    <x v="0"/>
    <x v="4"/>
    <n v="25"/>
    <n v="73"/>
  </r>
  <r>
    <n v="25"/>
    <x v="1"/>
    <x v="16"/>
    <n v="28"/>
    <n v="14"/>
  </r>
  <r>
    <n v="26"/>
    <x v="0"/>
    <x v="17"/>
    <n v="28"/>
    <n v="82"/>
  </r>
  <r>
    <n v="27"/>
    <x v="1"/>
    <x v="18"/>
    <n v="28"/>
    <n v="32"/>
  </r>
  <r>
    <n v="28"/>
    <x v="0"/>
    <x v="6"/>
    <n v="28"/>
    <n v="61"/>
  </r>
  <r>
    <n v="29"/>
    <x v="1"/>
    <x v="19"/>
    <n v="29"/>
    <n v="31"/>
  </r>
  <r>
    <n v="30"/>
    <x v="1"/>
    <x v="3"/>
    <n v="29"/>
    <n v="87"/>
  </r>
  <r>
    <n v="31"/>
    <x v="0"/>
    <x v="20"/>
    <n v="30"/>
    <n v="4"/>
  </r>
  <r>
    <n v="32"/>
    <x v="1"/>
    <x v="1"/>
    <n v="30"/>
    <n v="73"/>
  </r>
  <r>
    <n v="33"/>
    <x v="0"/>
    <x v="21"/>
    <n v="33"/>
    <n v="4"/>
  </r>
  <r>
    <n v="34"/>
    <x v="0"/>
    <x v="22"/>
    <n v="33"/>
    <n v="92"/>
  </r>
  <r>
    <n v="35"/>
    <x v="1"/>
    <x v="23"/>
    <n v="33"/>
    <n v="14"/>
  </r>
  <r>
    <n v="36"/>
    <x v="1"/>
    <x v="1"/>
    <n v="33"/>
    <n v="81"/>
  </r>
  <r>
    <n v="37"/>
    <x v="1"/>
    <x v="24"/>
    <n v="34"/>
    <n v="17"/>
  </r>
  <r>
    <n v="38"/>
    <x v="1"/>
    <x v="8"/>
    <n v="34"/>
    <n v="73"/>
  </r>
  <r>
    <n v="39"/>
    <x v="1"/>
    <x v="25"/>
    <n v="37"/>
    <n v="26"/>
  </r>
  <r>
    <n v="40"/>
    <x v="1"/>
    <x v="2"/>
    <n v="37"/>
    <n v="75"/>
  </r>
  <r>
    <n v="41"/>
    <x v="1"/>
    <x v="26"/>
    <n v="38"/>
    <n v="35"/>
  </r>
  <r>
    <n v="42"/>
    <x v="0"/>
    <x v="11"/>
    <n v="38"/>
    <n v="92"/>
  </r>
  <r>
    <n v="43"/>
    <x v="0"/>
    <x v="27"/>
    <n v="39"/>
    <n v="36"/>
  </r>
  <r>
    <n v="44"/>
    <x v="1"/>
    <x v="4"/>
    <n v="39"/>
    <n v="61"/>
  </r>
  <r>
    <n v="45"/>
    <x v="1"/>
    <x v="23"/>
    <n v="39"/>
    <n v="28"/>
  </r>
  <r>
    <n v="46"/>
    <x v="1"/>
    <x v="11"/>
    <n v="39"/>
    <n v="65"/>
  </r>
  <r>
    <n v="47"/>
    <x v="1"/>
    <x v="28"/>
    <n v="40"/>
    <n v="55"/>
  </r>
  <r>
    <n v="48"/>
    <x v="1"/>
    <x v="29"/>
    <n v="40"/>
    <n v="47"/>
  </r>
  <r>
    <n v="49"/>
    <x v="1"/>
    <x v="17"/>
    <n v="40"/>
    <n v="42"/>
  </r>
  <r>
    <n v="50"/>
    <x v="1"/>
    <x v="4"/>
    <n v="40"/>
    <n v="42"/>
  </r>
  <r>
    <n v="51"/>
    <x v="1"/>
    <x v="23"/>
    <n v="42"/>
    <n v="52"/>
  </r>
  <r>
    <n v="52"/>
    <x v="0"/>
    <x v="30"/>
    <n v="42"/>
    <n v="60"/>
  </r>
  <r>
    <n v="53"/>
    <x v="1"/>
    <x v="4"/>
    <n v="43"/>
    <n v="54"/>
  </r>
  <r>
    <n v="54"/>
    <x v="0"/>
    <x v="31"/>
    <n v="43"/>
    <n v="60"/>
  </r>
  <r>
    <n v="55"/>
    <x v="1"/>
    <x v="28"/>
    <n v="43"/>
    <n v="45"/>
  </r>
  <r>
    <n v="56"/>
    <x v="0"/>
    <x v="32"/>
    <n v="43"/>
    <n v="41"/>
  </r>
  <r>
    <n v="57"/>
    <x v="1"/>
    <x v="33"/>
    <n v="44"/>
    <n v="50"/>
  </r>
  <r>
    <n v="58"/>
    <x v="0"/>
    <x v="34"/>
    <n v="44"/>
    <n v="46"/>
  </r>
  <r>
    <n v="59"/>
    <x v="1"/>
    <x v="29"/>
    <n v="46"/>
    <n v="51"/>
  </r>
  <r>
    <n v="60"/>
    <x v="0"/>
    <x v="21"/>
    <n v="46"/>
    <n v="46"/>
  </r>
  <r>
    <n v="61"/>
    <x v="0"/>
    <x v="35"/>
    <n v="46"/>
    <n v="56"/>
  </r>
  <r>
    <n v="62"/>
    <x v="0"/>
    <x v="0"/>
    <n v="46"/>
    <n v="55"/>
  </r>
  <r>
    <n v="63"/>
    <x v="1"/>
    <x v="9"/>
    <n v="47"/>
    <n v="52"/>
  </r>
  <r>
    <n v="64"/>
    <x v="1"/>
    <x v="16"/>
    <n v="47"/>
    <n v="59"/>
  </r>
  <r>
    <n v="65"/>
    <x v="0"/>
    <x v="36"/>
    <n v="48"/>
    <n v="51"/>
  </r>
  <r>
    <n v="66"/>
    <x v="0"/>
    <x v="22"/>
    <n v="48"/>
    <n v="59"/>
  </r>
  <r>
    <n v="67"/>
    <x v="1"/>
    <x v="37"/>
    <n v="48"/>
    <n v="50"/>
  </r>
  <r>
    <n v="68"/>
    <x v="1"/>
    <x v="38"/>
    <n v="48"/>
    <n v="48"/>
  </r>
  <r>
    <n v="69"/>
    <x v="0"/>
    <x v="0"/>
    <n v="48"/>
    <n v="59"/>
  </r>
  <r>
    <n v="70"/>
    <x v="1"/>
    <x v="39"/>
    <n v="48"/>
    <n v="47"/>
  </r>
  <r>
    <n v="71"/>
    <x v="0"/>
    <x v="35"/>
    <n v="49"/>
    <n v="55"/>
  </r>
  <r>
    <n v="72"/>
    <x v="1"/>
    <x v="32"/>
    <n v="49"/>
    <n v="42"/>
  </r>
  <r>
    <n v="73"/>
    <x v="1"/>
    <x v="20"/>
    <n v="50"/>
    <n v="49"/>
  </r>
  <r>
    <n v="74"/>
    <x v="1"/>
    <x v="20"/>
    <n v="50"/>
    <n v="56"/>
  </r>
  <r>
    <n v="75"/>
    <x v="0"/>
    <x v="31"/>
    <n v="54"/>
    <n v="47"/>
  </r>
  <r>
    <n v="76"/>
    <x v="0"/>
    <x v="40"/>
    <n v="54"/>
    <n v="54"/>
  </r>
  <r>
    <n v="77"/>
    <x v="1"/>
    <x v="18"/>
    <n v="54"/>
    <n v="53"/>
  </r>
  <r>
    <n v="78"/>
    <x v="0"/>
    <x v="19"/>
    <n v="54"/>
    <n v="48"/>
  </r>
  <r>
    <n v="79"/>
    <x v="1"/>
    <x v="3"/>
    <n v="54"/>
    <n v="52"/>
  </r>
  <r>
    <n v="80"/>
    <x v="1"/>
    <x v="23"/>
    <n v="54"/>
    <n v="42"/>
  </r>
  <r>
    <n v="81"/>
    <x v="0"/>
    <x v="41"/>
    <n v="54"/>
    <n v="51"/>
  </r>
  <r>
    <n v="82"/>
    <x v="0"/>
    <x v="42"/>
    <n v="54"/>
    <n v="55"/>
  </r>
  <r>
    <n v="83"/>
    <x v="0"/>
    <x v="9"/>
    <n v="54"/>
    <n v="41"/>
  </r>
  <r>
    <n v="84"/>
    <x v="1"/>
    <x v="15"/>
    <n v="54"/>
    <n v="44"/>
  </r>
  <r>
    <n v="85"/>
    <x v="1"/>
    <x v="1"/>
    <n v="54"/>
    <n v="57"/>
  </r>
  <r>
    <n v="86"/>
    <x v="0"/>
    <x v="27"/>
    <n v="54"/>
    <n v="46"/>
  </r>
  <r>
    <n v="87"/>
    <x v="1"/>
    <x v="43"/>
    <n v="57"/>
    <n v="58"/>
  </r>
  <r>
    <n v="88"/>
    <x v="1"/>
    <x v="5"/>
    <n v="57"/>
    <n v="55"/>
  </r>
  <r>
    <n v="89"/>
    <x v="1"/>
    <x v="44"/>
    <n v="58"/>
    <n v="60"/>
  </r>
  <r>
    <n v="90"/>
    <x v="1"/>
    <x v="28"/>
    <n v="58"/>
    <n v="46"/>
  </r>
  <r>
    <n v="91"/>
    <x v="1"/>
    <x v="38"/>
    <n v="59"/>
    <n v="55"/>
  </r>
  <r>
    <n v="92"/>
    <x v="0"/>
    <x v="22"/>
    <n v="59"/>
    <n v="41"/>
  </r>
  <r>
    <n v="93"/>
    <x v="0"/>
    <x v="27"/>
    <n v="60"/>
    <n v="49"/>
  </r>
  <r>
    <n v="94"/>
    <x v="1"/>
    <x v="19"/>
    <n v="60"/>
    <n v="40"/>
  </r>
  <r>
    <n v="95"/>
    <x v="1"/>
    <x v="39"/>
    <n v="60"/>
    <n v="42"/>
  </r>
  <r>
    <n v="96"/>
    <x v="0"/>
    <x v="11"/>
    <n v="60"/>
    <n v="52"/>
  </r>
  <r>
    <n v="97"/>
    <x v="1"/>
    <x v="32"/>
    <n v="60"/>
    <n v="47"/>
  </r>
  <r>
    <n v="98"/>
    <x v="1"/>
    <x v="29"/>
    <n v="60"/>
    <n v="50"/>
  </r>
  <r>
    <n v="99"/>
    <x v="0"/>
    <x v="27"/>
    <n v="61"/>
    <n v="42"/>
  </r>
  <r>
    <n v="100"/>
    <x v="0"/>
    <x v="2"/>
    <n v="61"/>
    <n v="49"/>
  </r>
  <r>
    <n v="101"/>
    <x v="1"/>
    <x v="3"/>
    <n v="62"/>
    <n v="41"/>
  </r>
  <r>
    <n v="102"/>
    <x v="1"/>
    <x v="23"/>
    <n v="62"/>
    <n v="48"/>
  </r>
  <r>
    <n v="103"/>
    <x v="0"/>
    <x v="9"/>
    <n v="62"/>
    <n v="59"/>
  </r>
  <r>
    <n v="104"/>
    <x v="0"/>
    <x v="40"/>
    <n v="62"/>
    <n v="55"/>
  </r>
  <r>
    <n v="105"/>
    <x v="0"/>
    <x v="23"/>
    <n v="62"/>
    <n v="56"/>
  </r>
  <r>
    <n v="106"/>
    <x v="1"/>
    <x v="1"/>
    <n v="62"/>
    <n v="42"/>
  </r>
  <r>
    <n v="107"/>
    <x v="1"/>
    <x v="45"/>
    <n v="63"/>
    <n v="50"/>
  </r>
  <r>
    <n v="108"/>
    <x v="0"/>
    <x v="16"/>
    <n v="63"/>
    <n v="46"/>
  </r>
  <r>
    <n v="109"/>
    <x v="0"/>
    <x v="38"/>
    <n v="63"/>
    <n v="43"/>
  </r>
  <r>
    <n v="110"/>
    <x v="0"/>
    <x v="45"/>
    <n v="63"/>
    <n v="48"/>
  </r>
  <r>
    <n v="111"/>
    <x v="0"/>
    <x v="26"/>
    <n v="63"/>
    <n v="52"/>
  </r>
  <r>
    <n v="112"/>
    <x v="1"/>
    <x v="0"/>
    <n v="63"/>
    <n v="54"/>
  </r>
  <r>
    <n v="113"/>
    <x v="1"/>
    <x v="42"/>
    <n v="64"/>
    <n v="42"/>
  </r>
  <r>
    <n v="114"/>
    <x v="0"/>
    <x v="0"/>
    <n v="64"/>
    <n v="46"/>
  </r>
  <r>
    <n v="115"/>
    <x v="1"/>
    <x v="22"/>
    <n v="65"/>
    <n v="48"/>
  </r>
  <r>
    <n v="116"/>
    <x v="1"/>
    <x v="0"/>
    <n v="65"/>
    <n v="50"/>
  </r>
  <r>
    <n v="117"/>
    <x v="1"/>
    <x v="36"/>
    <n v="65"/>
    <n v="43"/>
  </r>
  <r>
    <n v="118"/>
    <x v="1"/>
    <x v="23"/>
    <n v="65"/>
    <n v="59"/>
  </r>
  <r>
    <n v="119"/>
    <x v="1"/>
    <x v="33"/>
    <n v="67"/>
    <n v="43"/>
  </r>
  <r>
    <n v="120"/>
    <x v="1"/>
    <x v="28"/>
    <n v="67"/>
    <n v="57"/>
  </r>
  <r>
    <n v="121"/>
    <x v="0"/>
    <x v="29"/>
    <n v="67"/>
    <n v="56"/>
  </r>
  <r>
    <n v="122"/>
    <x v="1"/>
    <x v="42"/>
    <n v="67"/>
    <n v="40"/>
  </r>
  <r>
    <n v="123"/>
    <x v="1"/>
    <x v="19"/>
    <n v="69"/>
    <n v="58"/>
  </r>
  <r>
    <n v="124"/>
    <x v="0"/>
    <x v="46"/>
    <n v="69"/>
    <n v="91"/>
  </r>
  <r>
    <n v="125"/>
    <x v="1"/>
    <x v="3"/>
    <n v="70"/>
    <n v="29"/>
  </r>
  <r>
    <n v="126"/>
    <x v="1"/>
    <x v="4"/>
    <n v="70"/>
    <n v="77"/>
  </r>
  <r>
    <n v="127"/>
    <x v="0"/>
    <x v="37"/>
    <n v="71"/>
    <n v="35"/>
  </r>
  <r>
    <n v="128"/>
    <x v="0"/>
    <x v="19"/>
    <n v="71"/>
    <n v="95"/>
  </r>
  <r>
    <n v="129"/>
    <x v="0"/>
    <x v="31"/>
    <n v="71"/>
    <n v="11"/>
  </r>
  <r>
    <n v="130"/>
    <x v="0"/>
    <x v="42"/>
    <n v="71"/>
    <n v="75"/>
  </r>
  <r>
    <n v="131"/>
    <x v="0"/>
    <x v="32"/>
    <n v="71"/>
    <n v="9"/>
  </r>
  <r>
    <n v="132"/>
    <x v="0"/>
    <x v="46"/>
    <n v="71"/>
    <n v="75"/>
  </r>
  <r>
    <n v="133"/>
    <x v="1"/>
    <x v="14"/>
    <n v="72"/>
    <n v="34"/>
  </r>
  <r>
    <n v="134"/>
    <x v="1"/>
    <x v="4"/>
    <n v="72"/>
    <n v="71"/>
  </r>
  <r>
    <n v="135"/>
    <x v="0"/>
    <x v="2"/>
    <n v="73"/>
    <n v="5"/>
  </r>
  <r>
    <n v="136"/>
    <x v="1"/>
    <x v="17"/>
    <n v="73"/>
    <n v="88"/>
  </r>
  <r>
    <n v="137"/>
    <x v="1"/>
    <x v="47"/>
    <n v="73"/>
    <n v="7"/>
  </r>
  <r>
    <n v="138"/>
    <x v="0"/>
    <x v="39"/>
    <n v="73"/>
    <n v="73"/>
  </r>
  <r>
    <n v="139"/>
    <x v="0"/>
    <x v="0"/>
    <n v="74"/>
    <n v="10"/>
  </r>
  <r>
    <n v="140"/>
    <x v="1"/>
    <x v="6"/>
    <n v="74"/>
    <n v="72"/>
  </r>
  <r>
    <n v="141"/>
    <x v="1"/>
    <x v="41"/>
    <n v="75"/>
    <n v="5"/>
  </r>
  <r>
    <n v="142"/>
    <x v="0"/>
    <x v="39"/>
    <n v="75"/>
    <n v="93"/>
  </r>
  <r>
    <n v="143"/>
    <x v="1"/>
    <x v="48"/>
    <n v="76"/>
    <n v="40"/>
  </r>
  <r>
    <n v="144"/>
    <x v="1"/>
    <x v="39"/>
    <n v="76"/>
    <n v="87"/>
  </r>
  <r>
    <n v="145"/>
    <x v="0"/>
    <x v="14"/>
    <n v="77"/>
    <n v="12"/>
  </r>
  <r>
    <n v="146"/>
    <x v="0"/>
    <x v="48"/>
    <n v="77"/>
    <n v="97"/>
  </r>
  <r>
    <n v="147"/>
    <x v="0"/>
    <x v="27"/>
    <n v="77"/>
    <n v="36"/>
  </r>
  <r>
    <n v="148"/>
    <x v="1"/>
    <x v="39"/>
    <n v="77"/>
    <n v="74"/>
  </r>
  <r>
    <n v="149"/>
    <x v="1"/>
    <x v="44"/>
    <n v="78"/>
    <n v="22"/>
  </r>
  <r>
    <n v="150"/>
    <x v="0"/>
    <x v="44"/>
    <n v="78"/>
    <n v="90"/>
  </r>
  <r>
    <n v="151"/>
    <x v="0"/>
    <x v="37"/>
    <n v="78"/>
    <n v="17"/>
  </r>
  <r>
    <n v="152"/>
    <x v="0"/>
    <x v="46"/>
    <n v="78"/>
    <n v="88"/>
  </r>
  <r>
    <n v="153"/>
    <x v="1"/>
    <x v="47"/>
    <n v="78"/>
    <n v="20"/>
  </r>
  <r>
    <n v="154"/>
    <x v="1"/>
    <x v="42"/>
    <n v="78"/>
    <n v="76"/>
  </r>
  <r>
    <n v="155"/>
    <x v="1"/>
    <x v="32"/>
    <n v="78"/>
    <n v="16"/>
  </r>
  <r>
    <n v="156"/>
    <x v="1"/>
    <x v="29"/>
    <n v="78"/>
    <n v="89"/>
  </r>
  <r>
    <n v="157"/>
    <x v="0"/>
    <x v="12"/>
    <n v="78"/>
    <n v="1"/>
  </r>
  <r>
    <n v="158"/>
    <x v="1"/>
    <x v="8"/>
    <n v="78"/>
    <n v="78"/>
  </r>
  <r>
    <n v="159"/>
    <x v="0"/>
    <x v="44"/>
    <n v="78"/>
    <n v="1"/>
  </r>
  <r>
    <n v="160"/>
    <x v="1"/>
    <x v="8"/>
    <n v="78"/>
    <n v="73"/>
  </r>
  <r>
    <n v="161"/>
    <x v="1"/>
    <x v="49"/>
    <n v="79"/>
    <n v="35"/>
  </r>
  <r>
    <n v="162"/>
    <x v="1"/>
    <x v="17"/>
    <n v="79"/>
    <n v="83"/>
  </r>
  <r>
    <n v="163"/>
    <x v="0"/>
    <x v="0"/>
    <n v="81"/>
    <n v="5"/>
  </r>
  <r>
    <n v="164"/>
    <x v="1"/>
    <x v="4"/>
    <n v="81"/>
    <n v="93"/>
  </r>
  <r>
    <n v="165"/>
    <x v="0"/>
    <x v="28"/>
    <n v="85"/>
    <n v="26"/>
  </r>
  <r>
    <n v="166"/>
    <x v="1"/>
    <x v="25"/>
    <n v="85"/>
    <n v="75"/>
  </r>
  <r>
    <n v="167"/>
    <x v="0"/>
    <x v="24"/>
    <n v="86"/>
    <n v="20"/>
  </r>
  <r>
    <n v="168"/>
    <x v="1"/>
    <x v="30"/>
    <n v="86"/>
    <n v="95"/>
  </r>
  <r>
    <n v="169"/>
    <x v="1"/>
    <x v="25"/>
    <n v="87"/>
    <n v="27"/>
  </r>
  <r>
    <n v="170"/>
    <x v="0"/>
    <x v="39"/>
    <n v="87"/>
    <n v="63"/>
  </r>
  <r>
    <n v="171"/>
    <x v="0"/>
    <x v="19"/>
    <n v="87"/>
    <n v="13"/>
  </r>
  <r>
    <n v="172"/>
    <x v="0"/>
    <x v="48"/>
    <n v="87"/>
    <n v="75"/>
  </r>
  <r>
    <n v="173"/>
    <x v="0"/>
    <x v="25"/>
    <n v="87"/>
    <n v="10"/>
  </r>
  <r>
    <n v="174"/>
    <x v="0"/>
    <x v="25"/>
    <n v="87"/>
    <n v="92"/>
  </r>
  <r>
    <n v="175"/>
    <x v="1"/>
    <x v="13"/>
    <n v="88"/>
    <n v="13"/>
  </r>
  <r>
    <n v="176"/>
    <x v="1"/>
    <x v="8"/>
    <n v="88"/>
    <n v="86"/>
  </r>
  <r>
    <n v="177"/>
    <x v="0"/>
    <x v="10"/>
    <n v="88"/>
    <n v="15"/>
  </r>
  <r>
    <n v="178"/>
    <x v="0"/>
    <x v="29"/>
    <n v="88"/>
    <n v="69"/>
  </r>
  <r>
    <n v="179"/>
    <x v="0"/>
    <x v="31"/>
    <n v="93"/>
    <n v="14"/>
  </r>
  <r>
    <n v="180"/>
    <x v="0"/>
    <x v="6"/>
    <n v="93"/>
    <n v="90"/>
  </r>
  <r>
    <n v="181"/>
    <x v="1"/>
    <x v="12"/>
    <n v="97"/>
    <n v="32"/>
  </r>
  <r>
    <n v="182"/>
    <x v="1"/>
    <x v="39"/>
    <n v="97"/>
    <n v="86"/>
  </r>
  <r>
    <n v="183"/>
    <x v="0"/>
    <x v="15"/>
    <n v="98"/>
    <n v="15"/>
  </r>
  <r>
    <n v="184"/>
    <x v="1"/>
    <x v="17"/>
    <n v="98"/>
    <n v="88"/>
  </r>
  <r>
    <n v="185"/>
    <x v="1"/>
    <x v="50"/>
    <n v="99"/>
    <n v="39"/>
  </r>
  <r>
    <n v="186"/>
    <x v="0"/>
    <x v="8"/>
    <n v="99"/>
    <n v="97"/>
  </r>
  <r>
    <n v="187"/>
    <x v="1"/>
    <x v="16"/>
    <n v="101"/>
    <n v="24"/>
  </r>
  <r>
    <n v="188"/>
    <x v="0"/>
    <x v="48"/>
    <n v="101"/>
    <n v="68"/>
  </r>
  <r>
    <n v="189"/>
    <x v="1"/>
    <x v="50"/>
    <n v="103"/>
    <n v="17"/>
  </r>
  <r>
    <n v="190"/>
    <x v="1"/>
    <x v="25"/>
    <n v="103"/>
    <n v="85"/>
  </r>
  <r>
    <n v="191"/>
    <x v="1"/>
    <x v="44"/>
    <n v="103"/>
    <n v="23"/>
  </r>
  <r>
    <n v="192"/>
    <x v="1"/>
    <x v="39"/>
    <n v="103"/>
    <n v="69"/>
  </r>
  <r>
    <n v="193"/>
    <x v="0"/>
    <x v="30"/>
    <n v="113"/>
    <n v="8"/>
  </r>
  <r>
    <n v="194"/>
    <x v="1"/>
    <x v="42"/>
    <n v="113"/>
    <n v="91"/>
  </r>
  <r>
    <n v="195"/>
    <x v="1"/>
    <x v="32"/>
    <n v="120"/>
    <n v="16"/>
  </r>
  <r>
    <n v="196"/>
    <x v="1"/>
    <x v="6"/>
    <n v="120"/>
    <n v="79"/>
  </r>
  <r>
    <n v="197"/>
    <x v="1"/>
    <x v="18"/>
    <n v="126"/>
    <n v="28"/>
  </r>
  <r>
    <n v="198"/>
    <x v="0"/>
    <x v="39"/>
    <n v="126"/>
    <n v="74"/>
  </r>
  <r>
    <n v="199"/>
    <x v="0"/>
    <x v="39"/>
    <n v="137"/>
    <n v="18"/>
  </r>
  <r>
    <n v="200"/>
    <x v="0"/>
    <x v="8"/>
    <n v="137"/>
    <n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Male"/>
    <n v="18"/>
    <n v="33"/>
    <n v="92"/>
    <x v="0"/>
  </r>
  <r>
    <x v="1"/>
    <s v="Male"/>
    <n v="18"/>
    <n v="48"/>
    <n v="59"/>
    <x v="0"/>
  </r>
  <r>
    <x v="2"/>
    <s v="Male"/>
    <n v="18"/>
    <n v="59"/>
    <n v="41"/>
    <x v="0"/>
  </r>
  <r>
    <x v="3"/>
    <s v="Female"/>
    <n v="18"/>
    <n v="65"/>
    <n v="48"/>
    <x v="1"/>
  </r>
  <r>
    <x v="4"/>
    <s v="Male"/>
    <n v="19"/>
    <n v="15"/>
    <n v="39"/>
    <x v="0"/>
  </r>
  <r>
    <x v="5"/>
    <s v="Male"/>
    <n v="19"/>
    <n v="46"/>
    <n v="55"/>
    <x v="0"/>
  </r>
  <r>
    <x v="6"/>
    <s v="Male"/>
    <n v="19"/>
    <n v="48"/>
    <n v="59"/>
    <x v="0"/>
  </r>
  <r>
    <x v="7"/>
    <s v="Female"/>
    <n v="19"/>
    <n v="63"/>
    <n v="54"/>
    <x v="1"/>
  </r>
  <r>
    <x v="8"/>
    <s v="Male"/>
    <n v="19"/>
    <n v="64"/>
    <n v="46"/>
    <x v="0"/>
  </r>
  <r>
    <x v="9"/>
    <s v="Female"/>
    <n v="19"/>
    <n v="65"/>
    <n v="50"/>
    <x v="1"/>
  </r>
  <r>
    <x v="10"/>
    <s v="Male"/>
    <n v="19"/>
    <n v="74"/>
    <n v="10"/>
    <x v="0"/>
  </r>
  <r>
    <x v="11"/>
    <s v="Male"/>
    <n v="19"/>
    <n v="81"/>
    <n v="5"/>
    <x v="0"/>
  </r>
  <r>
    <x v="12"/>
    <s v="Female"/>
    <n v="20"/>
    <n v="16"/>
    <n v="6"/>
    <x v="1"/>
  </r>
  <r>
    <x v="13"/>
    <s v="Male"/>
    <n v="20"/>
    <n v="21"/>
    <n v="66"/>
    <x v="0"/>
  </r>
  <r>
    <x v="14"/>
    <s v="Female"/>
    <n v="20"/>
    <n v="37"/>
    <n v="75"/>
    <x v="1"/>
  </r>
  <r>
    <x v="15"/>
    <s v="Male"/>
    <n v="20"/>
    <n v="61"/>
    <n v="49"/>
    <x v="0"/>
  </r>
  <r>
    <x v="16"/>
    <s v="Male"/>
    <n v="20"/>
    <n v="73"/>
    <n v="5"/>
    <x v="0"/>
  </r>
  <r>
    <x v="17"/>
    <s v="Male"/>
    <n v="21"/>
    <n v="15"/>
    <n v="81"/>
    <x v="0"/>
  </r>
  <r>
    <x v="18"/>
    <s v="Female"/>
    <n v="21"/>
    <n v="30"/>
    <n v="73"/>
    <x v="1"/>
  </r>
  <r>
    <x v="19"/>
    <s v="Female"/>
    <n v="21"/>
    <n v="33"/>
    <n v="81"/>
    <x v="1"/>
  </r>
  <r>
    <x v="20"/>
    <s v="Female"/>
    <n v="21"/>
    <n v="54"/>
    <n v="57"/>
    <x v="1"/>
  </r>
  <r>
    <x v="21"/>
    <s v="Female"/>
    <n v="21"/>
    <n v="62"/>
    <n v="42"/>
    <x v="1"/>
  </r>
  <r>
    <x v="22"/>
    <s v="Female"/>
    <n v="22"/>
    <n v="17"/>
    <n v="76"/>
    <x v="1"/>
  </r>
  <r>
    <x v="23"/>
    <s v="Male"/>
    <n v="22"/>
    <n v="20"/>
    <n v="79"/>
    <x v="0"/>
  </r>
  <r>
    <x v="24"/>
    <s v="Female"/>
    <n v="22"/>
    <n v="57"/>
    <n v="55"/>
    <x v="1"/>
  </r>
  <r>
    <x v="25"/>
    <s v="Female"/>
    <n v="23"/>
    <n v="16"/>
    <n v="77"/>
    <x v="1"/>
  </r>
  <r>
    <x v="26"/>
    <s v="Female"/>
    <n v="23"/>
    <n v="18"/>
    <n v="94"/>
    <x v="1"/>
  </r>
  <r>
    <x v="27"/>
    <s v="Female"/>
    <n v="23"/>
    <n v="29"/>
    <n v="87"/>
    <x v="1"/>
  </r>
  <r>
    <x v="28"/>
    <s v="Female"/>
    <n v="23"/>
    <n v="54"/>
    <n v="52"/>
    <x v="1"/>
  </r>
  <r>
    <x v="29"/>
    <s v="Female"/>
    <n v="23"/>
    <n v="62"/>
    <n v="41"/>
    <x v="1"/>
  </r>
  <r>
    <x v="30"/>
    <s v="Female"/>
    <n v="23"/>
    <n v="70"/>
    <n v="29"/>
    <x v="1"/>
  </r>
  <r>
    <x v="31"/>
    <s v="Female"/>
    <n v="24"/>
    <n v="20"/>
    <n v="77"/>
    <x v="1"/>
  </r>
  <r>
    <x v="32"/>
    <s v="Male"/>
    <n v="24"/>
    <n v="38"/>
    <n v="92"/>
    <x v="0"/>
  </r>
  <r>
    <x v="33"/>
    <s v="Female"/>
    <n v="24"/>
    <n v="39"/>
    <n v="65"/>
    <x v="1"/>
  </r>
  <r>
    <x v="34"/>
    <s v="Male"/>
    <n v="24"/>
    <n v="60"/>
    <n v="52"/>
    <x v="0"/>
  </r>
  <r>
    <x v="35"/>
    <s v="Male"/>
    <n v="25"/>
    <n v="24"/>
    <n v="73"/>
    <x v="0"/>
  </r>
  <r>
    <x v="36"/>
    <s v="Female"/>
    <n v="25"/>
    <n v="72"/>
    <n v="34"/>
    <x v="1"/>
  </r>
  <r>
    <x v="37"/>
    <s v="Male"/>
    <n v="25"/>
    <n v="77"/>
    <n v="12"/>
    <x v="0"/>
  </r>
  <r>
    <x v="38"/>
    <s v="Male"/>
    <n v="26"/>
    <n v="54"/>
    <n v="54"/>
    <x v="0"/>
  </r>
  <r>
    <x v="39"/>
    <s v="Male"/>
    <n v="26"/>
    <n v="62"/>
    <n v="55"/>
    <x v="0"/>
  </r>
  <r>
    <x v="40"/>
    <s v="Female"/>
    <n v="27"/>
    <n v="40"/>
    <n v="47"/>
    <x v="1"/>
  </r>
  <r>
    <x v="41"/>
    <s v="Female"/>
    <n v="27"/>
    <n v="46"/>
    <n v="51"/>
    <x v="1"/>
  </r>
  <r>
    <x v="42"/>
    <s v="Female"/>
    <n v="27"/>
    <n v="60"/>
    <n v="50"/>
    <x v="1"/>
  </r>
  <r>
    <x v="43"/>
    <s v="Male"/>
    <n v="27"/>
    <n v="67"/>
    <n v="56"/>
    <x v="0"/>
  </r>
  <r>
    <x v="44"/>
    <s v="Female"/>
    <n v="27"/>
    <n v="78"/>
    <n v="89"/>
    <x v="1"/>
  </r>
  <r>
    <x v="45"/>
    <s v="Male"/>
    <n v="27"/>
    <n v="88"/>
    <n v="69"/>
    <x v="0"/>
  </r>
  <r>
    <x v="46"/>
    <s v="Female"/>
    <n v="28"/>
    <n v="76"/>
    <n v="40"/>
    <x v="1"/>
  </r>
  <r>
    <x v="47"/>
    <s v="Male"/>
    <n v="28"/>
    <n v="77"/>
    <n v="97"/>
    <x v="0"/>
  </r>
  <r>
    <x v="48"/>
    <s v="Male"/>
    <n v="28"/>
    <n v="87"/>
    <n v="75"/>
    <x v="0"/>
  </r>
  <r>
    <x v="49"/>
    <s v="Male"/>
    <n v="28"/>
    <n v="101"/>
    <n v="68"/>
    <x v="0"/>
  </r>
  <r>
    <x v="50"/>
    <s v="Male"/>
    <n v="29"/>
    <n v="28"/>
    <n v="82"/>
    <x v="0"/>
  </r>
  <r>
    <x v="51"/>
    <s v="Female"/>
    <n v="29"/>
    <n v="40"/>
    <n v="42"/>
    <x v="1"/>
  </r>
  <r>
    <x v="52"/>
    <s v="Female"/>
    <n v="29"/>
    <n v="73"/>
    <n v="88"/>
    <x v="1"/>
  </r>
  <r>
    <x v="53"/>
    <s v="Female"/>
    <n v="29"/>
    <n v="79"/>
    <n v="83"/>
    <x v="1"/>
  </r>
  <r>
    <x v="54"/>
    <s v="Female"/>
    <n v="29"/>
    <n v="98"/>
    <n v="88"/>
    <x v="1"/>
  </r>
  <r>
    <x v="55"/>
    <s v="Female"/>
    <n v="30"/>
    <n v="19"/>
    <n v="72"/>
    <x v="1"/>
  </r>
  <r>
    <x v="56"/>
    <s v="Female"/>
    <n v="30"/>
    <n v="34"/>
    <n v="73"/>
    <x v="1"/>
  </r>
  <r>
    <x v="57"/>
    <s v="Female"/>
    <n v="30"/>
    <n v="78"/>
    <n v="78"/>
    <x v="1"/>
  </r>
  <r>
    <x v="58"/>
    <s v="Female"/>
    <n v="30"/>
    <n v="78"/>
    <n v="73"/>
    <x v="1"/>
  </r>
  <r>
    <x v="59"/>
    <s v="Female"/>
    <n v="30"/>
    <n v="88"/>
    <n v="86"/>
    <x v="1"/>
  </r>
  <r>
    <x v="60"/>
    <s v="Male"/>
    <n v="30"/>
    <n v="99"/>
    <n v="97"/>
    <x v="0"/>
  </r>
  <r>
    <x v="61"/>
    <s v="Male"/>
    <n v="30"/>
    <n v="137"/>
    <n v="83"/>
    <x v="0"/>
  </r>
  <r>
    <x v="62"/>
    <s v="Female"/>
    <n v="31"/>
    <n v="17"/>
    <n v="40"/>
    <x v="1"/>
  </r>
  <r>
    <x v="63"/>
    <s v="Male"/>
    <n v="31"/>
    <n v="25"/>
    <n v="73"/>
    <x v="0"/>
  </r>
  <r>
    <x v="64"/>
    <s v="Female"/>
    <n v="31"/>
    <n v="39"/>
    <n v="61"/>
    <x v="1"/>
  </r>
  <r>
    <x v="65"/>
    <s v="Female"/>
    <n v="31"/>
    <n v="40"/>
    <n v="42"/>
    <x v="1"/>
  </r>
  <r>
    <x v="66"/>
    <s v="Female"/>
    <n v="31"/>
    <n v="43"/>
    <n v="54"/>
    <x v="1"/>
  </r>
  <r>
    <x v="67"/>
    <s v="Female"/>
    <n v="31"/>
    <n v="70"/>
    <n v="77"/>
    <x v="1"/>
  </r>
  <r>
    <x v="68"/>
    <s v="Female"/>
    <n v="31"/>
    <n v="72"/>
    <n v="71"/>
    <x v="1"/>
  </r>
  <r>
    <x v="69"/>
    <s v="Female"/>
    <n v="31"/>
    <n v="81"/>
    <n v="93"/>
    <x v="1"/>
  </r>
  <r>
    <x v="70"/>
    <s v="Female"/>
    <n v="32"/>
    <n v="48"/>
    <n v="47"/>
    <x v="1"/>
  </r>
  <r>
    <x v="71"/>
    <s v="Female"/>
    <n v="32"/>
    <n v="60"/>
    <n v="42"/>
    <x v="1"/>
  </r>
  <r>
    <x v="72"/>
    <s v="Male"/>
    <n v="32"/>
    <n v="73"/>
    <n v="73"/>
    <x v="0"/>
  </r>
  <r>
    <x v="73"/>
    <s v="Male"/>
    <n v="32"/>
    <n v="75"/>
    <n v="93"/>
    <x v="0"/>
  </r>
  <r>
    <x v="74"/>
    <s v="Female"/>
    <n v="32"/>
    <n v="76"/>
    <n v="87"/>
    <x v="1"/>
  </r>
  <r>
    <x v="75"/>
    <s v="Female"/>
    <n v="32"/>
    <n v="77"/>
    <n v="74"/>
    <x v="1"/>
  </r>
  <r>
    <x v="76"/>
    <s v="Male"/>
    <n v="32"/>
    <n v="87"/>
    <n v="63"/>
    <x v="0"/>
  </r>
  <r>
    <x v="77"/>
    <s v="Female"/>
    <n v="32"/>
    <n v="97"/>
    <n v="86"/>
    <x v="1"/>
  </r>
  <r>
    <x v="78"/>
    <s v="Female"/>
    <n v="32"/>
    <n v="103"/>
    <n v="69"/>
    <x v="1"/>
  </r>
  <r>
    <x v="79"/>
    <s v="Male"/>
    <n v="32"/>
    <n v="126"/>
    <n v="74"/>
    <x v="0"/>
  </r>
  <r>
    <x v="80"/>
    <s v="Male"/>
    <n v="32"/>
    <n v="137"/>
    <n v="18"/>
    <x v="0"/>
  </r>
  <r>
    <x v="81"/>
    <s v="Male"/>
    <n v="33"/>
    <n v="42"/>
    <n v="60"/>
    <x v="0"/>
  </r>
  <r>
    <x v="82"/>
    <s v="Female"/>
    <n v="33"/>
    <n v="86"/>
    <n v="95"/>
    <x v="1"/>
  </r>
  <r>
    <x v="83"/>
    <s v="Male"/>
    <n v="33"/>
    <n v="113"/>
    <n v="8"/>
    <x v="0"/>
  </r>
  <r>
    <x v="84"/>
    <s v="Female"/>
    <n v="34"/>
    <n v="58"/>
    <n v="60"/>
    <x v="1"/>
  </r>
  <r>
    <x v="85"/>
    <s v="Female"/>
    <n v="34"/>
    <n v="78"/>
    <n v="22"/>
    <x v="1"/>
  </r>
  <r>
    <x v="86"/>
    <s v="Male"/>
    <n v="34"/>
    <n v="78"/>
    <n v="90"/>
    <x v="0"/>
  </r>
  <r>
    <x v="87"/>
    <s v="Male"/>
    <n v="34"/>
    <n v="78"/>
    <n v="1"/>
    <x v="0"/>
  </r>
  <r>
    <x v="88"/>
    <s v="Female"/>
    <n v="34"/>
    <n v="103"/>
    <n v="23"/>
    <x v="1"/>
  </r>
  <r>
    <x v="89"/>
    <s v="Female"/>
    <n v="35"/>
    <n v="18"/>
    <n v="6"/>
    <x v="1"/>
  </r>
  <r>
    <x v="90"/>
    <s v="Female"/>
    <n v="35"/>
    <n v="19"/>
    <n v="99"/>
    <x v="1"/>
  </r>
  <r>
    <x v="91"/>
    <s v="Female"/>
    <n v="35"/>
    <n v="21"/>
    <n v="35"/>
    <x v="1"/>
  </r>
  <r>
    <x v="92"/>
    <s v="Female"/>
    <n v="35"/>
    <n v="23"/>
    <n v="98"/>
    <x v="1"/>
  </r>
  <r>
    <x v="93"/>
    <s v="Male"/>
    <n v="35"/>
    <n v="24"/>
    <n v="35"/>
    <x v="0"/>
  </r>
  <r>
    <x v="94"/>
    <s v="Male"/>
    <n v="35"/>
    <n v="28"/>
    <n v="61"/>
    <x v="0"/>
  </r>
  <r>
    <x v="95"/>
    <s v="Female"/>
    <n v="35"/>
    <n v="74"/>
    <n v="72"/>
    <x v="1"/>
  </r>
  <r>
    <x v="96"/>
    <s v="Male"/>
    <n v="35"/>
    <n v="93"/>
    <n v="90"/>
    <x v="0"/>
  </r>
  <r>
    <x v="97"/>
    <s v="Female"/>
    <n v="35"/>
    <n v="120"/>
    <n v="79"/>
    <x v="1"/>
  </r>
  <r>
    <x v="98"/>
    <s v="Female"/>
    <n v="36"/>
    <n v="37"/>
    <n v="26"/>
    <x v="1"/>
  </r>
  <r>
    <x v="99"/>
    <s v="Female"/>
    <n v="36"/>
    <n v="85"/>
    <n v="75"/>
    <x v="1"/>
  </r>
  <r>
    <x v="100"/>
    <s v="Female"/>
    <n v="36"/>
    <n v="87"/>
    <n v="27"/>
    <x v="1"/>
  </r>
  <r>
    <x v="101"/>
    <s v="Male"/>
    <n v="36"/>
    <n v="87"/>
    <n v="10"/>
    <x v="0"/>
  </r>
  <r>
    <x v="102"/>
    <s v="Male"/>
    <n v="36"/>
    <n v="87"/>
    <n v="92"/>
    <x v="0"/>
  </r>
  <r>
    <x v="103"/>
    <s v="Female"/>
    <n v="36"/>
    <n v="103"/>
    <n v="85"/>
    <x v="1"/>
  </r>
  <r>
    <x v="104"/>
    <s v="Male"/>
    <n v="37"/>
    <n v="20"/>
    <n v="13"/>
    <x v="0"/>
  </r>
  <r>
    <x v="105"/>
    <s v="Male"/>
    <n v="37"/>
    <n v="78"/>
    <n v="1"/>
    <x v="0"/>
  </r>
  <r>
    <x v="106"/>
    <s v="Female"/>
    <n v="37"/>
    <n v="97"/>
    <n v="32"/>
    <x v="1"/>
  </r>
  <r>
    <x v="107"/>
    <s v="Male"/>
    <n v="38"/>
    <n v="54"/>
    <n v="55"/>
    <x v="0"/>
  </r>
  <r>
    <x v="108"/>
    <s v="Female"/>
    <n v="38"/>
    <n v="64"/>
    <n v="42"/>
    <x v="1"/>
  </r>
  <r>
    <x v="109"/>
    <s v="Female"/>
    <n v="38"/>
    <n v="67"/>
    <n v="40"/>
    <x v="1"/>
  </r>
  <r>
    <x v="110"/>
    <s v="Male"/>
    <n v="38"/>
    <n v="71"/>
    <n v="75"/>
    <x v="0"/>
  </r>
  <r>
    <x v="111"/>
    <s v="Female"/>
    <n v="38"/>
    <n v="78"/>
    <n v="76"/>
    <x v="1"/>
  </r>
  <r>
    <x v="112"/>
    <s v="Female"/>
    <n v="38"/>
    <n v="113"/>
    <n v="91"/>
    <x v="1"/>
  </r>
  <r>
    <x v="113"/>
    <s v="Male"/>
    <n v="39"/>
    <n v="69"/>
    <n v="91"/>
    <x v="0"/>
  </r>
  <r>
    <x v="114"/>
    <s v="Male"/>
    <n v="39"/>
    <n v="71"/>
    <n v="75"/>
    <x v="0"/>
  </r>
  <r>
    <x v="115"/>
    <s v="Male"/>
    <n v="39"/>
    <n v="78"/>
    <n v="88"/>
    <x v="0"/>
  </r>
  <r>
    <x v="116"/>
    <s v="Female"/>
    <n v="40"/>
    <n v="29"/>
    <n v="31"/>
    <x v="1"/>
  </r>
  <r>
    <x v="117"/>
    <s v="Male"/>
    <n v="40"/>
    <n v="54"/>
    <n v="48"/>
    <x v="0"/>
  </r>
  <r>
    <x v="118"/>
    <s v="Female"/>
    <n v="40"/>
    <n v="60"/>
    <n v="40"/>
    <x v="1"/>
  </r>
  <r>
    <x v="119"/>
    <s v="Female"/>
    <n v="40"/>
    <n v="69"/>
    <n v="58"/>
    <x v="1"/>
  </r>
  <r>
    <x v="120"/>
    <s v="Male"/>
    <n v="40"/>
    <n v="71"/>
    <n v="95"/>
    <x v="0"/>
  </r>
  <r>
    <x v="121"/>
    <s v="Male"/>
    <n v="40"/>
    <n v="87"/>
    <n v="13"/>
    <x v="0"/>
  </r>
  <r>
    <x v="122"/>
    <s v="Female"/>
    <n v="41"/>
    <n v="99"/>
    <n v="39"/>
    <x v="1"/>
  </r>
  <r>
    <x v="123"/>
    <s v="Female"/>
    <n v="41"/>
    <n v="103"/>
    <n v="17"/>
    <x v="1"/>
  </r>
  <r>
    <x v="124"/>
    <s v="Female"/>
    <n v="42"/>
    <n v="34"/>
    <n v="17"/>
    <x v="1"/>
  </r>
  <r>
    <x v="125"/>
    <s v="Male"/>
    <n v="42"/>
    <n v="86"/>
    <n v="20"/>
    <x v="0"/>
  </r>
  <r>
    <x v="126"/>
    <s v="Female"/>
    <n v="43"/>
    <n v="48"/>
    <n v="50"/>
    <x v="1"/>
  </r>
  <r>
    <x v="127"/>
    <s v="Male"/>
    <n v="43"/>
    <n v="71"/>
    <n v="35"/>
    <x v="0"/>
  </r>
  <r>
    <x v="128"/>
    <s v="Male"/>
    <n v="43"/>
    <n v="78"/>
    <n v="17"/>
    <x v="0"/>
  </r>
  <r>
    <x v="129"/>
    <s v="Female"/>
    <n v="44"/>
    <n v="73"/>
    <n v="7"/>
    <x v="1"/>
  </r>
  <r>
    <x v="130"/>
    <s v="Female"/>
    <n v="44"/>
    <n v="78"/>
    <n v="20"/>
    <x v="1"/>
  </r>
  <r>
    <x v="131"/>
    <s v="Female"/>
    <n v="45"/>
    <n v="28"/>
    <n v="32"/>
    <x v="1"/>
  </r>
  <r>
    <x v="132"/>
    <s v="Female"/>
    <n v="45"/>
    <n v="54"/>
    <n v="53"/>
    <x v="1"/>
  </r>
  <r>
    <x v="133"/>
    <s v="Female"/>
    <n v="45"/>
    <n v="126"/>
    <n v="28"/>
    <x v="1"/>
  </r>
  <r>
    <x v="134"/>
    <s v="Female"/>
    <n v="46"/>
    <n v="25"/>
    <n v="5"/>
    <x v="1"/>
  </r>
  <r>
    <x v="135"/>
    <s v="Female"/>
    <n v="46"/>
    <n v="54"/>
    <n v="44"/>
    <x v="1"/>
  </r>
  <r>
    <x v="136"/>
    <s v="Male"/>
    <n v="46"/>
    <n v="98"/>
    <n v="15"/>
    <x v="0"/>
  </r>
  <r>
    <x v="137"/>
    <s v="Male"/>
    <n v="47"/>
    <n v="43"/>
    <n v="41"/>
    <x v="0"/>
  </r>
  <r>
    <x v="138"/>
    <s v="Female"/>
    <n v="47"/>
    <n v="49"/>
    <n v="42"/>
    <x v="1"/>
  </r>
  <r>
    <x v="139"/>
    <s v="Female"/>
    <n v="47"/>
    <n v="60"/>
    <n v="47"/>
    <x v="1"/>
  </r>
  <r>
    <x v="140"/>
    <s v="Male"/>
    <n v="47"/>
    <n v="71"/>
    <n v="9"/>
    <x v="0"/>
  </r>
  <r>
    <x v="141"/>
    <s v="Female"/>
    <n v="47"/>
    <n v="78"/>
    <n v="16"/>
    <x v="1"/>
  </r>
  <r>
    <x v="142"/>
    <s v="Female"/>
    <n v="47"/>
    <n v="120"/>
    <n v="16"/>
    <x v="1"/>
  </r>
  <r>
    <x v="143"/>
    <s v="Male"/>
    <n v="48"/>
    <n v="39"/>
    <n v="36"/>
    <x v="0"/>
  </r>
  <r>
    <x v="144"/>
    <s v="Male"/>
    <n v="48"/>
    <n v="54"/>
    <n v="46"/>
    <x v="0"/>
  </r>
  <r>
    <x v="145"/>
    <s v="Male"/>
    <n v="48"/>
    <n v="60"/>
    <n v="49"/>
    <x v="0"/>
  </r>
  <r>
    <x v="146"/>
    <s v="Male"/>
    <n v="48"/>
    <n v="61"/>
    <n v="42"/>
    <x v="0"/>
  </r>
  <r>
    <x v="147"/>
    <s v="Male"/>
    <n v="48"/>
    <n v="77"/>
    <n v="36"/>
    <x v="0"/>
  </r>
  <r>
    <x v="148"/>
    <s v="Female"/>
    <n v="49"/>
    <n v="33"/>
    <n v="14"/>
    <x v="1"/>
  </r>
  <r>
    <x v="149"/>
    <s v="Female"/>
    <n v="49"/>
    <n v="39"/>
    <n v="28"/>
    <x v="1"/>
  </r>
  <r>
    <x v="150"/>
    <s v="Female"/>
    <n v="49"/>
    <n v="42"/>
    <n v="52"/>
    <x v="1"/>
  </r>
  <r>
    <x v="151"/>
    <s v="Female"/>
    <n v="49"/>
    <n v="54"/>
    <n v="42"/>
    <x v="1"/>
  </r>
  <r>
    <x v="152"/>
    <s v="Female"/>
    <n v="49"/>
    <n v="62"/>
    <n v="48"/>
    <x v="1"/>
  </r>
  <r>
    <x v="153"/>
    <s v="Male"/>
    <n v="49"/>
    <n v="62"/>
    <n v="56"/>
    <x v="0"/>
  </r>
  <r>
    <x v="154"/>
    <s v="Female"/>
    <n v="49"/>
    <n v="65"/>
    <n v="59"/>
    <x v="1"/>
  </r>
  <r>
    <x v="155"/>
    <s v="Female"/>
    <n v="50"/>
    <n v="40"/>
    <n v="55"/>
    <x v="1"/>
  </r>
  <r>
    <x v="156"/>
    <s v="Female"/>
    <n v="50"/>
    <n v="43"/>
    <n v="45"/>
    <x v="1"/>
  </r>
  <r>
    <x v="157"/>
    <s v="Female"/>
    <n v="50"/>
    <n v="58"/>
    <n v="46"/>
    <x v="1"/>
  </r>
  <r>
    <x v="158"/>
    <s v="Female"/>
    <n v="50"/>
    <n v="67"/>
    <n v="57"/>
    <x v="1"/>
  </r>
  <r>
    <x v="159"/>
    <s v="Male"/>
    <n v="50"/>
    <n v="85"/>
    <n v="26"/>
    <x v="0"/>
  </r>
  <r>
    <x v="160"/>
    <s v="Female"/>
    <n v="51"/>
    <n v="44"/>
    <n v="50"/>
    <x v="1"/>
  </r>
  <r>
    <x v="161"/>
    <s v="Female"/>
    <n v="51"/>
    <n v="67"/>
    <n v="43"/>
    <x v="1"/>
  </r>
  <r>
    <x v="162"/>
    <s v="Male"/>
    <n v="52"/>
    <n v="23"/>
    <n v="29"/>
    <x v="0"/>
  </r>
  <r>
    <x v="163"/>
    <s v="Female"/>
    <n v="52"/>
    <n v="88"/>
    <n v="13"/>
    <x v="1"/>
  </r>
  <r>
    <x v="164"/>
    <s v="Male"/>
    <n v="53"/>
    <n v="33"/>
    <n v="4"/>
    <x v="0"/>
  </r>
  <r>
    <x v="165"/>
    <s v="Male"/>
    <n v="53"/>
    <n v="46"/>
    <n v="46"/>
    <x v="0"/>
  </r>
  <r>
    <x v="166"/>
    <s v="Female"/>
    <n v="54"/>
    <n v="28"/>
    <n v="14"/>
    <x v="1"/>
  </r>
  <r>
    <x v="167"/>
    <s v="Female"/>
    <n v="54"/>
    <n v="47"/>
    <n v="59"/>
    <x v="1"/>
  </r>
  <r>
    <x v="168"/>
    <s v="Male"/>
    <n v="54"/>
    <n v="63"/>
    <n v="46"/>
    <x v="0"/>
  </r>
  <r>
    <x v="169"/>
    <s v="Female"/>
    <n v="54"/>
    <n v="101"/>
    <n v="24"/>
    <x v="1"/>
  </r>
  <r>
    <x v="170"/>
    <s v="Female"/>
    <n v="55"/>
    <n v="57"/>
    <n v="58"/>
    <x v="1"/>
  </r>
  <r>
    <x v="171"/>
    <s v="Female"/>
    <n v="56"/>
    <n v="79"/>
    <n v="35"/>
    <x v="1"/>
  </r>
  <r>
    <x v="172"/>
    <s v="Male"/>
    <n v="57"/>
    <n v="54"/>
    <n v="51"/>
    <x v="0"/>
  </r>
  <r>
    <x v="173"/>
    <s v="Female"/>
    <n v="57"/>
    <n v="75"/>
    <n v="5"/>
    <x v="1"/>
  </r>
  <r>
    <x v="174"/>
    <s v="Female"/>
    <n v="58"/>
    <n v="20"/>
    <n v="15"/>
    <x v="1"/>
  </r>
  <r>
    <x v="175"/>
    <s v="Male"/>
    <n v="58"/>
    <n v="88"/>
    <n v="15"/>
    <x v="0"/>
  </r>
  <r>
    <x v="176"/>
    <s v="Male"/>
    <n v="59"/>
    <n v="43"/>
    <n v="60"/>
    <x v="0"/>
  </r>
  <r>
    <x v="177"/>
    <s v="Male"/>
    <n v="59"/>
    <n v="54"/>
    <n v="47"/>
    <x v="0"/>
  </r>
  <r>
    <x v="178"/>
    <s v="Male"/>
    <n v="59"/>
    <n v="71"/>
    <n v="11"/>
    <x v="0"/>
  </r>
  <r>
    <x v="179"/>
    <s v="Male"/>
    <n v="59"/>
    <n v="93"/>
    <n v="14"/>
    <x v="0"/>
  </r>
  <r>
    <x v="180"/>
    <s v="Male"/>
    <n v="60"/>
    <n v="30"/>
    <n v="4"/>
    <x v="0"/>
  </r>
  <r>
    <x v="181"/>
    <s v="Female"/>
    <n v="60"/>
    <n v="50"/>
    <n v="49"/>
    <x v="1"/>
  </r>
  <r>
    <x v="182"/>
    <s v="Female"/>
    <n v="60"/>
    <n v="50"/>
    <n v="56"/>
    <x v="1"/>
  </r>
  <r>
    <x v="183"/>
    <s v="Male"/>
    <n v="63"/>
    <n v="48"/>
    <n v="51"/>
    <x v="0"/>
  </r>
  <r>
    <x v="184"/>
    <s v="Female"/>
    <n v="63"/>
    <n v="65"/>
    <n v="43"/>
    <x v="1"/>
  </r>
  <r>
    <x v="185"/>
    <s v="Male"/>
    <n v="64"/>
    <n v="19"/>
    <n v="3"/>
    <x v="0"/>
  </r>
  <r>
    <x v="186"/>
    <s v="Female"/>
    <n v="65"/>
    <n v="38"/>
    <n v="35"/>
    <x v="1"/>
  </r>
  <r>
    <x v="187"/>
    <s v="Male"/>
    <n v="65"/>
    <n v="63"/>
    <n v="52"/>
    <x v="0"/>
  </r>
  <r>
    <x v="188"/>
    <s v="Female"/>
    <n v="66"/>
    <n v="63"/>
    <n v="50"/>
    <x v="1"/>
  </r>
  <r>
    <x v="189"/>
    <s v="Male"/>
    <n v="66"/>
    <n v="63"/>
    <n v="48"/>
    <x v="0"/>
  </r>
  <r>
    <x v="190"/>
    <s v="Male"/>
    <n v="67"/>
    <n v="19"/>
    <n v="14"/>
    <x v="0"/>
  </r>
  <r>
    <x v="191"/>
    <s v="Female"/>
    <n v="67"/>
    <n v="47"/>
    <n v="52"/>
    <x v="1"/>
  </r>
  <r>
    <x v="192"/>
    <s v="Male"/>
    <n v="67"/>
    <n v="54"/>
    <n v="41"/>
    <x v="0"/>
  </r>
  <r>
    <x v="193"/>
    <s v="Male"/>
    <n v="67"/>
    <n v="62"/>
    <n v="59"/>
    <x v="0"/>
  </r>
  <r>
    <x v="194"/>
    <s v="Female"/>
    <n v="68"/>
    <n v="48"/>
    <n v="48"/>
    <x v="1"/>
  </r>
  <r>
    <x v="195"/>
    <s v="Female"/>
    <n v="68"/>
    <n v="59"/>
    <n v="55"/>
    <x v="1"/>
  </r>
  <r>
    <x v="196"/>
    <s v="Male"/>
    <n v="68"/>
    <n v="63"/>
    <n v="43"/>
    <x v="0"/>
  </r>
  <r>
    <x v="197"/>
    <s v="Male"/>
    <n v="69"/>
    <n v="44"/>
    <n v="46"/>
    <x v="0"/>
  </r>
  <r>
    <x v="198"/>
    <s v="Male"/>
    <n v="70"/>
    <n v="46"/>
    <n v="56"/>
    <x v="0"/>
  </r>
  <r>
    <x v="199"/>
    <s v="Male"/>
    <n v="70"/>
    <n v="49"/>
    <n v="5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n v="31"/>
    <n v="40"/>
    <n v="17"/>
    <n v="40"/>
    <x v="0"/>
  </r>
  <r>
    <x v="1"/>
    <n v="31"/>
    <n v="73"/>
    <n v="25"/>
    <n v="73"/>
    <x v="0"/>
  </r>
  <r>
    <x v="2"/>
    <n v="31"/>
    <n v="61"/>
    <n v="39"/>
    <n v="61"/>
    <x v="0"/>
  </r>
  <r>
    <x v="3"/>
    <n v="31"/>
    <n v="42"/>
    <n v="40"/>
    <n v="42"/>
    <x v="0"/>
  </r>
  <r>
    <x v="4"/>
    <n v="31"/>
    <n v="54"/>
    <n v="43"/>
    <n v="54"/>
    <x v="0"/>
  </r>
  <r>
    <x v="5"/>
    <n v="31"/>
    <n v="77"/>
    <n v="70"/>
    <n v="77"/>
    <x v="0"/>
  </r>
  <r>
    <x v="6"/>
    <n v="31"/>
    <n v="71"/>
    <n v="72"/>
    <n v="71"/>
    <x v="0"/>
  </r>
  <r>
    <x v="7"/>
    <n v="31"/>
    <n v="93"/>
    <n v="81"/>
    <n v="93"/>
    <x v="0"/>
  </r>
  <r>
    <x v="8"/>
    <n v="32"/>
    <n v="47"/>
    <n v="48"/>
    <n v="47"/>
    <x v="0"/>
  </r>
  <r>
    <x v="9"/>
    <n v="32"/>
    <n v="42"/>
    <n v="60"/>
    <n v="42"/>
    <x v="0"/>
  </r>
  <r>
    <x v="10"/>
    <n v="32"/>
    <n v="73"/>
    <n v="73"/>
    <n v="73"/>
    <x v="0"/>
  </r>
  <r>
    <x v="11"/>
    <n v="32"/>
    <n v="93"/>
    <n v="75"/>
    <n v="93"/>
    <x v="0"/>
  </r>
  <r>
    <x v="12"/>
    <n v="32"/>
    <n v="87"/>
    <n v="76"/>
    <n v="87"/>
    <x v="0"/>
  </r>
  <r>
    <x v="13"/>
    <n v="32"/>
    <n v="74"/>
    <n v="77"/>
    <n v="74"/>
    <x v="0"/>
  </r>
  <r>
    <x v="14"/>
    <n v="32"/>
    <n v="63"/>
    <n v="87"/>
    <n v="63"/>
    <x v="0"/>
  </r>
  <r>
    <x v="15"/>
    <n v="32"/>
    <n v="86"/>
    <n v="97"/>
    <n v="86"/>
    <x v="0"/>
  </r>
  <r>
    <x v="16"/>
    <n v="32"/>
    <n v="69"/>
    <n v="103"/>
    <n v="69"/>
    <x v="0"/>
  </r>
  <r>
    <x v="17"/>
    <n v="32"/>
    <n v="74"/>
    <n v="126"/>
    <n v="74"/>
    <x v="0"/>
  </r>
  <r>
    <x v="18"/>
    <n v="32"/>
    <n v="18"/>
    <n v="137"/>
    <n v="18"/>
    <x v="0"/>
  </r>
  <r>
    <x v="19"/>
    <n v="33"/>
    <n v="60"/>
    <n v="42"/>
    <n v="60"/>
    <x v="0"/>
  </r>
  <r>
    <x v="20"/>
    <n v="33"/>
    <n v="95"/>
    <n v="86"/>
    <n v="95"/>
    <x v="0"/>
  </r>
  <r>
    <x v="21"/>
    <n v="33"/>
    <n v="8"/>
    <n v="113"/>
    <n v="8"/>
    <x v="0"/>
  </r>
  <r>
    <x v="22"/>
    <n v="34"/>
    <n v="60"/>
    <n v="58"/>
    <n v="60"/>
    <x v="0"/>
  </r>
  <r>
    <x v="23"/>
    <n v="34"/>
    <n v="22"/>
    <n v="78"/>
    <n v="22"/>
    <x v="0"/>
  </r>
  <r>
    <x v="24"/>
    <n v="34"/>
    <n v="90"/>
    <n v="78"/>
    <n v="90"/>
    <x v="0"/>
  </r>
  <r>
    <x v="25"/>
    <n v="34"/>
    <n v="1"/>
    <n v="78"/>
    <n v="1"/>
    <x v="0"/>
  </r>
  <r>
    <x v="26"/>
    <n v="34"/>
    <n v="23"/>
    <n v="103"/>
    <n v="23"/>
    <x v="0"/>
  </r>
  <r>
    <x v="27"/>
    <n v="35"/>
    <n v="6"/>
    <n v="18"/>
    <n v="6"/>
    <x v="0"/>
  </r>
  <r>
    <x v="28"/>
    <n v="35"/>
    <n v="99"/>
    <n v="19"/>
    <n v="99"/>
    <x v="0"/>
  </r>
  <r>
    <x v="29"/>
    <n v="35"/>
    <n v="35"/>
    <n v="21"/>
    <n v="35"/>
    <x v="0"/>
  </r>
  <r>
    <x v="30"/>
    <n v="35"/>
    <n v="98"/>
    <n v="23"/>
    <n v="98"/>
    <x v="0"/>
  </r>
  <r>
    <x v="31"/>
    <n v="35"/>
    <n v="35"/>
    <n v="24"/>
    <n v="35"/>
    <x v="0"/>
  </r>
  <r>
    <x v="32"/>
    <n v="35"/>
    <n v="61"/>
    <n v="28"/>
    <n v="61"/>
    <x v="0"/>
  </r>
  <r>
    <x v="33"/>
    <n v="35"/>
    <n v="72"/>
    <n v="74"/>
    <n v="72"/>
    <x v="0"/>
  </r>
  <r>
    <x v="34"/>
    <n v="35"/>
    <n v="90"/>
    <n v="93"/>
    <n v="90"/>
    <x v="0"/>
  </r>
  <r>
    <x v="35"/>
    <n v="35"/>
    <n v="79"/>
    <n v="120"/>
    <n v="79"/>
    <x v="0"/>
  </r>
  <r>
    <x v="36"/>
    <n v="36"/>
    <n v="26"/>
    <n v="37"/>
    <n v="26"/>
    <x v="0"/>
  </r>
  <r>
    <x v="37"/>
    <n v="36"/>
    <n v="75"/>
    <n v="85"/>
    <n v="75"/>
    <x v="0"/>
  </r>
  <r>
    <x v="38"/>
    <n v="36"/>
    <n v="27"/>
    <n v="87"/>
    <n v="27"/>
    <x v="0"/>
  </r>
  <r>
    <x v="39"/>
    <n v="36"/>
    <n v="10"/>
    <n v="87"/>
    <n v="10"/>
    <x v="0"/>
  </r>
  <r>
    <x v="40"/>
    <n v="36"/>
    <n v="92"/>
    <n v="87"/>
    <n v="92"/>
    <x v="0"/>
  </r>
  <r>
    <x v="41"/>
    <n v="36"/>
    <n v="85"/>
    <n v="103"/>
    <n v="85"/>
    <x v="0"/>
  </r>
  <r>
    <x v="42"/>
    <n v="37"/>
    <n v="13"/>
    <n v="20"/>
    <n v="13"/>
    <x v="0"/>
  </r>
  <r>
    <x v="43"/>
    <n v="37"/>
    <n v="1"/>
    <n v="78"/>
    <n v="1"/>
    <x v="0"/>
  </r>
  <r>
    <x v="44"/>
    <n v="37"/>
    <n v="32"/>
    <n v="97"/>
    <n v="32"/>
    <x v="0"/>
  </r>
  <r>
    <x v="45"/>
    <n v="38"/>
    <n v="55"/>
    <n v="54"/>
    <n v="55"/>
    <x v="0"/>
  </r>
  <r>
    <x v="46"/>
    <n v="38"/>
    <n v="42"/>
    <n v="64"/>
    <n v="42"/>
    <x v="0"/>
  </r>
  <r>
    <x v="47"/>
    <n v="38"/>
    <n v="40"/>
    <n v="67"/>
    <n v="40"/>
    <x v="0"/>
  </r>
  <r>
    <x v="48"/>
    <n v="38"/>
    <n v="75"/>
    <n v="71"/>
    <n v="75"/>
    <x v="0"/>
  </r>
  <r>
    <x v="49"/>
    <n v="38"/>
    <n v="76"/>
    <n v="78"/>
    <n v="76"/>
    <x v="0"/>
  </r>
  <r>
    <x v="50"/>
    <n v="38"/>
    <n v="91"/>
    <n v="113"/>
    <n v="91"/>
    <x v="0"/>
  </r>
  <r>
    <x v="51"/>
    <n v="39"/>
    <n v="91"/>
    <n v="69"/>
    <n v="91"/>
    <x v="0"/>
  </r>
  <r>
    <x v="52"/>
    <n v="39"/>
    <n v="75"/>
    <n v="71"/>
    <n v="75"/>
    <x v="0"/>
  </r>
  <r>
    <x v="53"/>
    <n v="39"/>
    <n v="88"/>
    <n v="78"/>
    <n v="88"/>
    <x v="0"/>
  </r>
  <r>
    <x v="54"/>
    <n v="40"/>
    <n v="31"/>
    <n v="29"/>
    <n v="31"/>
    <x v="0"/>
  </r>
  <r>
    <x v="55"/>
    <n v="40"/>
    <n v="48"/>
    <n v="54"/>
    <n v="48"/>
    <x v="0"/>
  </r>
  <r>
    <x v="56"/>
    <n v="40"/>
    <n v="40"/>
    <n v="60"/>
    <n v="40"/>
    <x v="0"/>
  </r>
  <r>
    <x v="57"/>
    <n v="40"/>
    <n v="58"/>
    <n v="69"/>
    <n v="58"/>
    <x v="0"/>
  </r>
  <r>
    <x v="58"/>
    <n v="40"/>
    <n v="95"/>
    <n v="71"/>
    <n v="95"/>
    <x v="0"/>
  </r>
  <r>
    <x v="59"/>
    <n v="40"/>
    <n v="13"/>
    <n v="87"/>
    <n v="13"/>
    <x v="0"/>
  </r>
  <r>
    <x v="60"/>
    <n v="41"/>
    <n v="39"/>
    <n v="99"/>
    <n v="39"/>
    <x v="1"/>
  </r>
  <r>
    <x v="61"/>
    <n v="41"/>
    <n v="17"/>
    <n v="103"/>
    <n v="17"/>
    <x v="1"/>
  </r>
  <r>
    <x v="62"/>
    <n v="42"/>
    <n v="17"/>
    <n v="34"/>
    <n v="17"/>
    <x v="1"/>
  </r>
  <r>
    <x v="63"/>
    <n v="42"/>
    <n v="20"/>
    <n v="86"/>
    <n v="20"/>
    <x v="1"/>
  </r>
  <r>
    <x v="64"/>
    <n v="43"/>
    <n v="50"/>
    <n v="48"/>
    <n v="50"/>
    <x v="1"/>
  </r>
  <r>
    <x v="65"/>
    <n v="43"/>
    <n v="35"/>
    <n v="71"/>
    <n v="35"/>
    <x v="1"/>
  </r>
  <r>
    <x v="66"/>
    <n v="43"/>
    <n v="17"/>
    <n v="78"/>
    <n v="17"/>
    <x v="1"/>
  </r>
  <r>
    <x v="67"/>
    <n v="44"/>
    <n v="7"/>
    <n v="73"/>
    <n v="7"/>
    <x v="1"/>
  </r>
  <r>
    <x v="68"/>
    <n v="44"/>
    <n v="20"/>
    <n v="78"/>
    <n v="20"/>
    <x v="1"/>
  </r>
  <r>
    <x v="69"/>
    <n v="45"/>
    <n v="32"/>
    <n v="28"/>
    <n v="32"/>
    <x v="1"/>
  </r>
  <r>
    <x v="70"/>
    <n v="45"/>
    <n v="53"/>
    <n v="54"/>
    <n v="53"/>
    <x v="1"/>
  </r>
  <r>
    <x v="71"/>
    <n v="45"/>
    <n v="28"/>
    <n v="126"/>
    <n v="28"/>
    <x v="1"/>
  </r>
  <r>
    <x v="72"/>
    <n v="46"/>
    <n v="5"/>
    <n v="25"/>
    <n v="5"/>
    <x v="1"/>
  </r>
  <r>
    <x v="73"/>
    <n v="46"/>
    <n v="44"/>
    <n v="54"/>
    <n v="44"/>
    <x v="1"/>
  </r>
  <r>
    <x v="74"/>
    <n v="46"/>
    <n v="15"/>
    <n v="98"/>
    <n v="15"/>
    <x v="1"/>
  </r>
  <r>
    <x v="75"/>
    <n v="47"/>
    <n v="41"/>
    <n v="43"/>
    <n v="41"/>
    <x v="1"/>
  </r>
  <r>
    <x v="76"/>
    <n v="47"/>
    <n v="42"/>
    <n v="49"/>
    <n v="42"/>
    <x v="1"/>
  </r>
  <r>
    <x v="77"/>
    <n v="47"/>
    <n v="47"/>
    <n v="60"/>
    <n v="47"/>
    <x v="1"/>
  </r>
  <r>
    <x v="78"/>
    <n v="47"/>
    <n v="9"/>
    <n v="71"/>
    <n v="9"/>
    <x v="1"/>
  </r>
  <r>
    <x v="79"/>
    <n v="47"/>
    <n v="16"/>
    <n v="78"/>
    <n v="16"/>
    <x v="1"/>
  </r>
  <r>
    <x v="80"/>
    <n v="47"/>
    <n v="16"/>
    <n v="120"/>
    <n v="16"/>
    <x v="1"/>
  </r>
  <r>
    <x v="81"/>
    <n v="48"/>
    <n v="36"/>
    <n v="39"/>
    <n v="36"/>
    <x v="1"/>
  </r>
  <r>
    <x v="82"/>
    <n v="48"/>
    <n v="46"/>
    <n v="54"/>
    <n v="46"/>
    <x v="1"/>
  </r>
  <r>
    <x v="83"/>
    <n v="48"/>
    <n v="49"/>
    <n v="60"/>
    <n v="49"/>
    <x v="1"/>
  </r>
  <r>
    <x v="84"/>
    <n v="48"/>
    <n v="42"/>
    <n v="61"/>
    <n v="42"/>
    <x v="1"/>
  </r>
  <r>
    <x v="85"/>
    <n v="48"/>
    <n v="36"/>
    <n v="77"/>
    <n v="36"/>
    <x v="1"/>
  </r>
  <r>
    <x v="86"/>
    <n v="49"/>
    <n v="14"/>
    <n v="33"/>
    <n v="14"/>
    <x v="1"/>
  </r>
  <r>
    <x v="87"/>
    <n v="49"/>
    <n v="28"/>
    <n v="39"/>
    <n v="28"/>
    <x v="1"/>
  </r>
  <r>
    <x v="88"/>
    <n v="49"/>
    <n v="52"/>
    <n v="42"/>
    <n v="52"/>
    <x v="1"/>
  </r>
  <r>
    <x v="89"/>
    <n v="49"/>
    <n v="42"/>
    <n v="54"/>
    <n v="42"/>
    <x v="1"/>
  </r>
  <r>
    <x v="90"/>
    <n v="49"/>
    <n v="48"/>
    <n v="62"/>
    <n v="48"/>
    <x v="1"/>
  </r>
  <r>
    <x v="91"/>
    <n v="49"/>
    <n v="56"/>
    <n v="62"/>
    <n v="56"/>
    <x v="1"/>
  </r>
  <r>
    <x v="92"/>
    <n v="50"/>
    <n v="55"/>
    <n v="40"/>
    <n v="55"/>
    <x v="1"/>
  </r>
  <r>
    <x v="93"/>
    <n v="50"/>
    <n v="45"/>
    <n v="43"/>
    <n v="45"/>
    <x v="1"/>
  </r>
  <r>
    <x v="94"/>
    <n v="50"/>
    <n v="46"/>
    <n v="58"/>
    <n v="46"/>
    <x v="1"/>
  </r>
  <r>
    <x v="95"/>
    <n v="50"/>
    <n v="57"/>
    <n v="67"/>
    <n v="57"/>
    <x v="1"/>
  </r>
  <r>
    <x v="96"/>
    <n v="50"/>
    <n v="26"/>
    <n v="85"/>
    <n v="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DE77F-B2BB-4170-8164-ADDF0DD94D0D}" name="PivotTable9" cacheId="4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4:Q117" firstHeaderRow="1" firstDataRow="1" firstDataCol="1" rowPageCount="1" colPageCount="1"/>
  <pivotFields count="6">
    <pivotField axis="axisRow" showAll="0">
      <items count="201">
        <item x="4"/>
        <item x="17"/>
        <item x="12"/>
        <item x="25"/>
        <item x="62"/>
        <item x="22"/>
        <item x="89"/>
        <item x="26"/>
        <item x="185"/>
        <item x="55"/>
        <item x="190"/>
        <item x="90"/>
        <item x="174"/>
        <item x="31"/>
        <item x="104"/>
        <item x="23"/>
        <item x="91"/>
        <item x="13"/>
        <item x="162"/>
        <item x="92"/>
        <item x="93"/>
        <item x="35"/>
        <item x="134"/>
        <item x="63"/>
        <item x="166"/>
        <item x="50"/>
        <item x="131"/>
        <item x="94"/>
        <item x="116"/>
        <item x="27"/>
        <item x="180"/>
        <item x="18"/>
        <item x="164"/>
        <item x="0"/>
        <item x="148"/>
        <item x="19"/>
        <item x="124"/>
        <item x="56"/>
        <item x="98"/>
        <item x="14"/>
        <item x="186"/>
        <item x="32"/>
        <item x="143"/>
        <item x="64"/>
        <item x="149"/>
        <item x="33"/>
        <item x="155"/>
        <item x="40"/>
        <item x="51"/>
        <item x="65"/>
        <item x="150"/>
        <item x="81"/>
        <item x="66"/>
        <item x="176"/>
        <item x="156"/>
        <item x="137"/>
        <item x="160"/>
        <item x="197"/>
        <item x="41"/>
        <item x="165"/>
        <item x="198"/>
        <item x="5"/>
        <item x="191"/>
        <item x="167"/>
        <item x="183"/>
        <item x="1"/>
        <item x="126"/>
        <item x="194"/>
        <item x="6"/>
        <item x="70"/>
        <item x="199"/>
        <item x="138"/>
        <item x="181"/>
        <item x="182"/>
        <item x="177"/>
        <item x="38"/>
        <item x="132"/>
        <item x="117"/>
        <item x="28"/>
        <item x="151"/>
        <item x="172"/>
        <item x="107"/>
        <item x="192"/>
        <item x="135"/>
        <item x="20"/>
        <item x="144"/>
        <item x="170"/>
        <item x="24"/>
        <item x="84"/>
        <item x="157"/>
        <item x="195"/>
        <item x="2"/>
        <item x="145"/>
        <item x="118"/>
        <item x="71"/>
        <item x="34"/>
        <item x="139"/>
        <item x="42"/>
        <item x="146"/>
        <item x="15"/>
        <item x="29"/>
        <item x="152"/>
        <item x="193"/>
        <item x="39"/>
        <item x="153"/>
        <item x="21"/>
        <item x="188"/>
        <item x="168"/>
        <item x="196"/>
        <item x="189"/>
        <item x="187"/>
        <item x="7"/>
        <item x="108"/>
        <item x="8"/>
        <item x="3"/>
        <item x="9"/>
        <item x="184"/>
        <item x="154"/>
        <item x="161"/>
        <item x="158"/>
        <item x="43"/>
        <item x="109"/>
        <item x="119"/>
        <item x="113"/>
        <item x="30"/>
        <item x="67"/>
        <item x="127"/>
        <item x="120"/>
        <item x="178"/>
        <item x="110"/>
        <item x="140"/>
        <item x="114"/>
        <item x="36"/>
        <item x="68"/>
        <item x="16"/>
        <item x="52"/>
        <item x="129"/>
        <item x="72"/>
        <item x="10"/>
        <item x="95"/>
        <item x="173"/>
        <item x="73"/>
        <item x="46"/>
        <item x="74"/>
        <item x="37"/>
        <item x="47"/>
        <item x="147"/>
        <item x="75"/>
        <item x="85"/>
        <item x="86"/>
        <item x="128"/>
        <item x="115"/>
        <item x="130"/>
        <item x="111"/>
        <item x="141"/>
        <item x="44"/>
        <item x="105"/>
        <item x="57"/>
        <item x="87"/>
        <item x="58"/>
        <item x="171"/>
        <item x="53"/>
        <item x="11"/>
        <item x="69"/>
        <item x="159"/>
        <item x="99"/>
        <item x="125"/>
        <item x="82"/>
        <item x="100"/>
        <item x="76"/>
        <item x="121"/>
        <item x="48"/>
        <item x="101"/>
        <item x="102"/>
        <item x="163"/>
        <item x="59"/>
        <item x="175"/>
        <item x="45"/>
        <item x="179"/>
        <item x="96"/>
        <item x="106"/>
        <item x="77"/>
        <item x="136"/>
        <item x="54"/>
        <item x="122"/>
        <item x="60"/>
        <item x="169"/>
        <item x="49"/>
        <item x="123"/>
        <item x="103"/>
        <item x="88"/>
        <item x="78"/>
        <item x="83"/>
        <item x="112"/>
        <item x="142"/>
        <item x="97"/>
        <item x="133"/>
        <item x="79"/>
        <item x="80"/>
        <item x="61"/>
        <item t="default"/>
      </items>
    </pivotField>
    <pivotField showAll="0"/>
    <pivotField showAll="0"/>
    <pivotField showAll="0"/>
    <pivotField dataField="1" showAll="0"/>
    <pivotField axis="axisPage" showAll="0">
      <items count="4">
        <item m="1" x="2"/>
        <item x="1"/>
        <item x="0"/>
        <item t="default"/>
      </items>
    </pivotField>
  </pivotFields>
  <rowFields count="1">
    <field x="0"/>
  </rowFields>
  <rowItems count="113"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6"/>
    </i>
    <i>
      <x v="19"/>
    </i>
    <i>
      <x v="22"/>
    </i>
    <i>
      <x v="24"/>
    </i>
    <i>
      <x v="26"/>
    </i>
    <i>
      <x v="28"/>
    </i>
    <i>
      <x v="29"/>
    </i>
    <i>
      <x v="31"/>
    </i>
    <i>
      <x v="34"/>
    </i>
    <i>
      <x v="35"/>
    </i>
    <i>
      <x v="36"/>
    </i>
    <i>
      <x v="37"/>
    </i>
    <i>
      <x v="38"/>
    </i>
    <i>
      <x v="39"/>
    </i>
    <i>
      <x v="40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4"/>
    </i>
    <i>
      <x v="56"/>
    </i>
    <i>
      <x v="58"/>
    </i>
    <i>
      <x v="62"/>
    </i>
    <i>
      <x v="63"/>
    </i>
    <i>
      <x v="66"/>
    </i>
    <i>
      <x v="67"/>
    </i>
    <i>
      <x v="69"/>
    </i>
    <i>
      <x v="71"/>
    </i>
    <i>
      <x v="72"/>
    </i>
    <i>
      <x v="73"/>
    </i>
    <i>
      <x v="76"/>
    </i>
    <i>
      <x v="78"/>
    </i>
    <i>
      <x v="79"/>
    </i>
    <i>
      <x v="83"/>
    </i>
    <i>
      <x v="84"/>
    </i>
    <i>
      <x v="86"/>
    </i>
    <i>
      <x v="87"/>
    </i>
    <i>
      <x v="88"/>
    </i>
    <i>
      <x v="89"/>
    </i>
    <i>
      <x v="90"/>
    </i>
    <i>
      <x v="93"/>
    </i>
    <i>
      <x v="94"/>
    </i>
    <i>
      <x v="96"/>
    </i>
    <i>
      <x v="97"/>
    </i>
    <i>
      <x v="100"/>
    </i>
    <i>
      <x v="101"/>
    </i>
    <i>
      <x v="105"/>
    </i>
    <i>
      <x v="106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1"/>
    </i>
    <i>
      <x v="122"/>
    </i>
    <i>
      <x v="124"/>
    </i>
    <i>
      <x v="125"/>
    </i>
    <i>
      <x v="132"/>
    </i>
    <i>
      <x v="133"/>
    </i>
    <i>
      <x v="135"/>
    </i>
    <i>
      <x v="136"/>
    </i>
    <i>
      <x v="139"/>
    </i>
    <i>
      <x v="140"/>
    </i>
    <i>
      <x v="142"/>
    </i>
    <i>
      <x v="143"/>
    </i>
    <i>
      <x v="147"/>
    </i>
    <i>
      <x v="148"/>
    </i>
    <i>
      <x v="152"/>
    </i>
    <i>
      <x v="153"/>
    </i>
    <i>
      <x v="154"/>
    </i>
    <i>
      <x v="155"/>
    </i>
    <i>
      <x v="157"/>
    </i>
    <i>
      <x v="159"/>
    </i>
    <i>
      <x v="160"/>
    </i>
    <i>
      <x v="161"/>
    </i>
    <i>
      <x v="163"/>
    </i>
    <i>
      <x v="165"/>
    </i>
    <i>
      <x v="167"/>
    </i>
    <i>
      <x v="168"/>
    </i>
    <i>
      <x v="174"/>
    </i>
    <i>
      <x v="175"/>
    </i>
    <i>
      <x v="180"/>
    </i>
    <i>
      <x v="181"/>
    </i>
    <i>
      <x v="183"/>
    </i>
    <i>
      <x v="184"/>
    </i>
    <i>
      <x v="186"/>
    </i>
    <i>
      <x v="188"/>
    </i>
    <i>
      <x v="189"/>
    </i>
    <i>
      <x v="190"/>
    </i>
    <i>
      <x v="191"/>
    </i>
    <i>
      <x v="193"/>
    </i>
    <i>
      <x v="194"/>
    </i>
    <i>
      <x v="195"/>
    </i>
    <i>
      <x v="196"/>
    </i>
    <i t="grand">
      <x/>
    </i>
  </rowItems>
  <colItems count="1">
    <i/>
  </colItems>
  <pageFields count="1">
    <pageField fld="5" item="1" hier="-1"/>
  </pageFields>
  <dataFields count="1">
    <dataField name="Female Spendin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F74E8-FADD-42B2-B5F5-9DFE34A71631}" name="PivotTable8" cacheId="4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4:N93" firstHeaderRow="1" firstDataRow="1" firstDataCol="1" rowPageCount="1" colPageCount="1"/>
  <pivotFields count="6">
    <pivotField axis="axisRow" showAll="0">
      <items count="201">
        <item x="4"/>
        <item x="17"/>
        <item x="12"/>
        <item x="25"/>
        <item x="62"/>
        <item x="22"/>
        <item x="89"/>
        <item x="26"/>
        <item x="185"/>
        <item x="55"/>
        <item x="190"/>
        <item x="90"/>
        <item x="174"/>
        <item x="31"/>
        <item x="104"/>
        <item x="23"/>
        <item x="91"/>
        <item x="13"/>
        <item x="162"/>
        <item x="92"/>
        <item x="93"/>
        <item x="35"/>
        <item x="134"/>
        <item x="63"/>
        <item x="166"/>
        <item x="50"/>
        <item x="131"/>
        <item x="94"/>
        <item x="116"/>
        <item x="27"/>
        <item x="180"/>
        <item x="18"/>
        <item x="164"/>
        <item x="0"/>
        <item x="148"/>
        <item x="19"/>
        <item x="124"/>
        <item x="56"/>
        <item x="98"/>
        <item x="14"/>
        <item x="186"/>
        <item x="32"/>
        <item x="143"/>
        <item x="64"/>
        <item x="149"/>
        <item x="33"/>
        <item x="155"/>
        <item x="40"/>
        <item x="51"/>
        <item x="65"/>
        <item x="150"/>
        <item x="81"/>
        <item x="66"/>
        <item x="176"/>
        <item x="156"/>
        <item x="137"/>
        <item x="160"/>
        <item x="197"/>
        <item x="41"/>
        <item x="165"/>
        <item x="198"/>
        <item x="5"/>
        <item x="191"/>
        <item x="167"/>
        <item x="183"/>
        <item x="1"/>
        <item x="126"/>
        <item x="194"/>
        <item x="6"/>
        <item x="70"/>
        <item x="199"/>
        <item x="138"/>
        <item x="181"/>
        <item x="182"/>
        <item x="177"/>
        <item x="38"/>
        <item x="132"/>
        <item x="117"/>
        <item x="28"/>
        <item x="151"/>
        <item x="172"/>
        <item x="107"/>
        <item x="192"/>
        <item x="135"/>
        <item x="20"/>
        <item x="144"/>
        <item x="170"/>
        <item x="24"/>
        <item x="84"/>
        <item x="157"/>
        <item x="195"/>
        <item x="2"/>
        <item x="145"/>
        <item x="118"/>
        <item x="71"/>
        <item x="34"/>
        <item x="139"/>
        <item x="42"/>
        <item x="146"/>
        <item x="15"/>
        <item x="29"/>
        <item x="152"/>
        <item x="193"/>
        <item x="39"/>
        <item x="153"/>
        <item x="21"/>
        <item x="188"/>
        <item x="168"/>
        <item x="196"/>
        <item x="189"/>
        <item x="187"/>
        <item x="7"/>
        <item x="108"/>
        <item x="8"/>
        <item x="3"/>
        <item x="9"/>
        <item x="184"/>
        <item x="154"/>
        <item x="161"/>
        <item x="158"/>
        <item x="43"/>
        <item x="109"/>
        <item x="119"/>
        <item x="113"/>
        <item x="30"/>
        <item x="67"/>
        <item x="127"/>
        <item x="120"/>
        <item x="178"/>
        <item x="110"/>
        <item x="140"/>
        <item x="114"/>
        <item x="36"/>
        <item x="68"/>
        <item x="16"/>
        <item x="52"/>
        <item x="129"/>
        <item x="72"/>
        <item x="10"/>
        <item x="95"/>
        <item x="173"/>
        <item x="73"/>
        <item x="46"/>
        <item x="74"/>
        <item x="37"/>
        <item x="47"/>
        <item x="147"/>
        <item x="75"/>
        <item x="85"/>
        <item x="86"/>
        <item x="128"/>
        <item x="115"/>
        <item x="130"/>
        <item x="111"/>
        <item x="141"/>
        <item x="44"/>
        <item x="105"/>
        <item x="57"/>
        <item x="87"/>
        <item x="58"/>
        <item x="171"/>
        <item x="53"/>
        <item x="11"/>
        <item x="69"/>
        <item x="159"/>
        <item x="99"/>
        <item x="125"/>
        <item x="82"/>
        <item x="100"/>
        <item x="76"/>
        <item x="121"/>
        <item x="48"/>
        <item x="101"/>
        <item x="102"/>
        <item x="163"/>
        <item x="59"/>
        <item x="175"/>
        <item x="45"/>
        <item x="179"/>
        <item x="96"/>
        <item x="106"/>
        <item x="77"/>
        <item x="136"/>
        <item x="54"/>
        <item x="122"/>
        <item x="60"/>
        <item x="169"/>
        <item x="49"/>
        <item x="123"/>
        <item x="103"/>
        <item x="88"/>
        <item x="78"/>
        <item x="83"/>
        <item x="112"/>
        <item x="142"/>
        <item x="97"/>
        <item x="133"/>
        <item x="79"/>
        <item x="80"/>
        <item x="61"/>
        <item t="default"/>
      </items>
    </pivotField>
    <pivotField showAll="0"/>
    <pivotField showAll="0"/>
    <pivotField showAll="0"/>
    <pivotField dataField="1" showAll="0"/>
    <pivotField axis="axisPage" showAll="0">
      <items count="4">
        <item m="1" x="2"/>
        <item x="1"/>
        <item x="0"/>
        <item t="default"/>
      </items>
    </pivotField>
  </pivotFields>
  <rowFields count="1">
    <field x="0"/>
  </rowFields>
  <rowItems count="89">
    <i>
      <x/>
    </i>
    <i>
      <x v="1"/>
    </i>
    <i>
      <x v="8"/>
    </i>
    <i>
      <x v="10"/>
    </i>
    <i>
      <x v="14"/>
    </i>
    <i>
      <x v="15"/>
    </i>
    <i>
      <x v="17"/>
    </i>
    <i>
      <x v="18"/>
    </i>
    <i>
      <x v="20"/>
    </i>
    <i>
      <x v="21"/>
    </i>
    <i>
      <x v="23"/>
    </i>
    <i>
      <x v="25"/>
    </i>
    <i>
      <x v="27"/>
    </i>
    <i>
      <x v="30"/>
    </i>
    <i>
      <x v="32"/>
    </i>
    <i>
      <x v="33"/>
    </i>
    <i>
      <x v="41"/>
    </i>
    <i>
      <x v="42"/>
    </i>
    <i>
      <x v="51"/>
    </i>
    <i>
      <x v="53"/>
    </i>
    <i>
      <x v="55"/>
    </i>
    <i>
      <x v="57"/>
    </i>
    <i>
      <x v="59"/>
    </i>
    <i>
      <x v="60"/>
    </i>
    <i>
      <x v="61"/>
    </i>
    <i>
      <x v="64"/>
    </i>
    <i>
      <x v="65"/>
    </i>
    <i>
      <x v="68"/>
    </i>
    <i>
      <x v="70"/>
    </i>
    <i>
      <x v="74"/>
    </i>
    <i>
      <x v="75"/>
    </i>
    <i>
      <x v="77"/>
    </i>
    <i>
      <x v="80"/>
    </i>
    <i>
      <x v="81"/>
    </i>
    <i>
      <x v="82"/>
    </i>
    <i>
      <x v="85"/>
    </i>
    <i>
      <x v="91"/>
    </i>
    <i>
      <x v="92"/>
    </i>
    <i>
      <x v="95"/>
    </i>
    <i>
      <x v="98"/>
    </i>
    <i>
      <x v="99"/>
    </i>
    <i>
      <x v="102"/>
    </i>
    <i>
      <x v="103"/>
    </i>
    <i>
      <x v="104"/>
    </i>
    <i>
      <x v="107"/>
    </i>
    <i>
      <x v="108"/>
    </i>
    <i>
      <x v="109"/>
    </i>
    <i>
      <x v="110"/>
    </i>
    <i>
      <x v="113"/>
    </i>
    <i>
      <x v="120"/>
    </i>
    <i>
      <x v="123"/>
    </i>
    <i>
      <x v="126"/>
    </i>
    <i>
      <x v="127"/>
    </i>
    <i>
      <x v="128"/>
    </i>
    <i>
      <x v="129"/>
    </i>
    <i>
      <x v="130"/>
    </i>
    <i>
      <x v="131"/>
    </i>
    <i>
      <x v="134"/>
    </i>
    <i>
      <x v="137"/>
    </i>
    <i>
      <x v="138"/>
    </i>
    <i>
      <x v="141"/>
    </i>
    <i>
      <x v="144"/>
    </i>
    <i>
      <x v="145"/>
    </i>
    <i>
      <x v="146"/>
    </i>
    <i>
      <x v="149"/>
    </i>
    <i>
      <x v="150"/>
    </i>
    <i>
      <x v="151"/>
    </i>
    <i>
      <x v="156"/>
    </i>
    <i>
      <x v="158"/>
    </i>
    <i>
      <x v="162"/>
    </i>
    <i>
      <x v="164"/>
    </i>
    <i>
      <x v="166"/>
    </i>
    <i>
      <x v="169"/>
    </i>
    <i>
      <x v="170"/>
    </i>
    <i>
      <x v="171"/>
    </i>
    <i>
      <x v="172"/>
    </i>
    <i>
      <x v="173"/>
    </i>
    <i>
      <x v="176"/>
    </i>
    <i>
      <x v="177"/>
    </i>
    <i>
      <x v="178"/>
    </i>
    <i>
      <x v="179"/>
    </i>
    <i>
      <x v="182"/>
    </i>
    <i>
      <x v="185"/>
    </i>
    <i>
      <x v="187"/>
    </i>
    <i>
      <x v="192"/>
    </i>
    <i>
      <x v="197"/>
    </i>
    <i>
      <x v="198"/>
    </i>
    <i>
      <x v="199"/>
    </i>
    <i t="grand">
      <x/>
    </i>
  </rowItems>
  <colItems count="1">
    <i/>
  </colItems>
  <pageFields count="1">
    <pageField fld="5" item="2" hier="-1"/>
  </pageFields>
  <dataFields count="1">
    <dataField name="Male Spendin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4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2:K15" firstHeaderRow="0" firstDataRow="1" firstDataCol="1"/>
  <pivotFields count="5">
    <pivotField dataField="1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0" subtotal="count" baseField="1" baseItem="0"/>
    <dataField name="Annual Income" fld="3" baseField="0" baseItem="0"/>
    <dataField name="Spending 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7B8EF-8174-4FC6-BE60-B541EBBBDD36}" name="PivotTable12" cacheId="7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4:M42" firstHeaderRow="1" firstDataRow="1" firstDataCol="1" rowPageCount="1" colPageCount="1"/>
  <pivotFields count="6">
    <pivotField axis="axisRow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38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pageFields count="1">
    <pageField fld="5" item="0" hier="-1"/>
  </pageFields>
  <dataFields count="1">
    <dataField name="Sum of Spending Sc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38801-D444-4C2A-B07F-313612949D65}" name="PivotTable11" cacheId="7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4:J65" firstHeaderRow="1" firstDataRow="1" firstDataCol="1" rowPageCount="1" colPageCount="1"/>
  <pivotFields count="6">
    <pivotField axis="axisRow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pageFields count="1">
    <pageField fld="5" item="1" hier="-1"/>
  </pageFields>
  <dataFields count="1">
    <dataField name="Sum of Spending Sc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BA21-D12B-4E15-BFC4-E1335B2FB6DD}">
  <dimension ref="A1:E204"/>
  <sheetViews>
    <sheetView workbookViewId="0"/>
  </sheetViews>
  <sheetFormatPr defaultRowHeight="15" x14ac:dyDescent="0.25"/>
  <cols>
    <col min="1" max="1" width="12.5703125" customWidth="1"/>
    <col min="4" max="4" width="18.42578125" bestFit="1" customWidth="1"/>
    <col min="5" max="5" width="21.5703125" bestFit="1" customWidth="1"/>
  </cols>
  <sheetData>
    <row r="1" spans="1:5" x14ac:dyDescent="0.25">
      <c r="A1" s="1" t="s">
        <v>8</v>
      </c>
    </row>
    <row r="2" spans="1:5" x14ac:dyDescent="0.25">
      <c r="A2" t="s">
        <v>7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>
        <v>34</v>
      </c>
      <c r="B5" t="s">
        <v>5</v>
      </c>
      <c r="C5">
        <v>18</v>
      </c>
      <c r="D5">
        <v>33</v>
      </c>
      <c r="E5">
        <v>92</v>
      </c>
    </row>
    <row r="6" spans="1:5" x14ac:dyDescent="0.25">
      <c r="A6">
        <v>66</v>
      </c>
      <c r="B6" t="s">
        <v>5</v>
      </c>
      <c r="C6">
        <v>18</v>
      </c>
      <c r="D6">
        <v>48</v>
      </c>
      <c r="E6">
        <v>59</v>
      </c>
    </row>
    <row r="7" spans="1:5" x14ac:dyDescent="0.25">
      <c r="A7">
        <v>92</v>
      </c>
      <c r="B7" t="s">
        <v>5</v>
      </c>
      <c r="C7">
        <v>18</v>
      </c>
      <c r="D7">
        <v>59</v>
      </c>
      <c r="E7">
        <v>41</v>
      </c>
    </row>
    <row r="8" spans="1:5" x14ac:dyDescent="0.25">
      <c r="A8">
        <v>115</v>
      </c>
      <c r="B8" t="s">
        <v>6</v>
      </c>
      <c r="C8">
        <v>18</v>
      </c>
      <c r="D8">
        <v>65</v>
      </c>
      <c r="E8">
        <v>48</v>
      </c>
    </row>
    <row r="9" spans="1:5" x14ac:dyDescent="0.25">
      <c r="A9">
        <v>1</v>
      </c>
      <c r="B9" t="s">
        <v>5</v>
      </c>
      <c r="C9">
        <v>19</v>
      </c>
      <c r="D9">
        <v>15</v>
      </c>
      <c r="E9">
        <v>39</v>
      </c>
    </row>
    <row r="10" spans="1:5" x14ac:dyDescent="0.25">
      <c r="A10">
        <v>62</v>
      </c>
      <c r="B10" t="s">
        <v>5</v>
      </c>
      <c r="C10">
        <v>19</v>
      </c>
      <c r="D10">
        <v>46</v>
      </c>
      <c r="E10">
        <v>55</v>
      </c>
    </row>
    <row r="11" spans="1:5" x14ac:dyDescent="0.25">
      <c r="A11">
        <v>69</v>
      </c>
      <c r="B11" t="s">
        <v>5</v>
      </c>
      <c r="C11">
        <v>19</v>
      </c>
      <c r="D11">
        <v>48</v>
      </c>
      <c r="E11">
        <v>59</v>
      </c>
    </row>
    <row r="12" spans="1:5" x14ac:dyDescent="0.25">
      <c r="A12">
        <v>112</v>
      </c>
      <c r="B12" t="s">
        <v>6</v>
      </c>
      <c r="C12">
        <v>19</v>
      </c>
      <c r="D12">
        <v>63</v>
      </c>
      <c r="E12">
        <v>54</v>
      </c>
    </row>
    <row r="13" spans="1:5" x14ac:dyDescent="0.25">
      <c r="A13">
        <v>114</v>
      </c>
      <c r="B13" t="s">
        <v>5</v>
      </c>
      <c r="C13">
        <v>19</v>
      </c>
      <c r="D13">
        <v>64</v>
      </c>
      <c r="E13">
        <v>46</v>
      </c>
    </row>
    <row r="14" spans="1:5" x14ac:dyDescent="0.25">
      <c r="A14">
        <v>116</v>
      </c>
      <c r="B14" t="s">
        <v>6</v>
      </c>
      <c r="C14">
        <v>19</v>
      </c>
      <c r="D14">
        <v>65</v>
      </c>
      <c r="E14">
        <v>50</v>
      </c>
    </row>
    <row r="15" spans="1:5" x14ac:dyDescent="0.25">
      <c r="A15">
        <v>139</v>
      </c>
      <c r="B15" t="s">
        <v>5</v>
      </c>
      <c r="C15">
        <v>19</v>
      </c>
      <c r="D15">
        <v>74</v>
      </c>
      <c r="E15">
        <v>10</v>
      </c>
    </row>
    <row r="16" spans="1:5" x14ac:dyDescent="0.25">
      <c r="A16">
        <v>163</v>
      </c>
      <c r="B16" t="s">
        <v>5</v>
      </c>
      <c r="C16">
        <v>19</v>
      </c>
      <c r="D16">
        <v>81</v>
      </c>
      <c r="E16">
        <v>5</v>
      </c>
    </row>
    <row r="17" spans="1:5" x14ac:dyDescent="0.25">
      <c r="A17">
        <v>3</v>
      </c>
      <c r="B17" t="s">
        <v>6</v>
      </c>
      <c r="C17">
        <v>20</v>
      </c>
      <c r="D17">
        <v>16</v>
      </c>
      <c r="E17">
        <v>6</v>
      </c>
    </row>
    <row r="18" spans="1:5" x14ac:dyDescent="0.25">
      <c r="A18">
        <v>18</v>
      </c>
      <c r="B18" t="s">
        <v>5</v>
      </c>
      <c r="C18">
        <v>20</v>
      </c>
      <c r="D18">
        <v>21</v>
      </c>
      <c r="E18">
        <v>66</v>
      </c>
    </row>
    <row r="19" spans="1:5" x14ac:dyDescent="0.25">
      <c r="A19">
        <v>40</v>
      </c>
      <c r="B19" t="s">
        <v>6</v>
      </c>
      <c r="C19">
        <v>20</v>
      </c>
      <c r="D19">
        <v>37</v>
      </c>
      <c r="E19">
        <v>75</v>
      </c>
    </row>
    <row r="20" spans="1:5" x14ac:dyDescent="0.25">
      <c r="A20">
        <v>100</v>
      </c>
      <c r="B20" t="s">
        <v>5</v>
      </c>
      <c r="C20">
        <v>20</v>
      </c>
      <c r="D20">
        <v>61</v>
      </c>
      <c r="E20">
        <v>49</v>
      </c>
    </row>
    <row r="21" spans="1:5" x14ac:dyDescent="0.25">
      <c r="A21">
        <v>135</v>
      </c>
      <c r="B21" t="s">
        <v>5</v>
      </c>
      <c r="C21">
        <v>20</v>
      </c>
      <c r="D21">
        <v>73</v>
      </c>
      <c r="E21">
        <v>5</v>
      </c>
    </row>
    <row r="22" spans="1:5" x14ac:dyDescent="0.25">
      <c r="A22">
        <v>2</v>
      </c>
      <c r="B22" t="s">
        <v>5</v>
      </c>
      <c r="C22">
        <v>21</v>
      </c>
      <c r="D22">
        <v>15</v>
      </c>
      <c r="E22">
        <v>81</v>
      </c>
    </row>
    <row r="23" spans="1:5" x14ac:dyDescent="0.25">
      <c r="A23">
        <v>32</v>
      </c>
      <c r="B23" t="s">
        <v>6</v>
      </c>
      <c r="C23">
        <v>21</v>
      </c>
      <c r="D23">
        <v>30</v>
      </c>
      <c r="E23">
        <v>73</v>
      </c>
    </row>
    <row r="24" spans="1:5" x14ac:dyDescent="0.25">
      <c r="A24">
        <v>36</v>
      </c>
      <c r="B24" t="s">
        <v>6</v>
      </c>
      <c r="C24">
        <v>21</v>
      </c>
      <c r="D24">
        <v>33</v>
      </c>
      <c r="E24">
        <v>81</v>
      </c>
    </row>
    <row r="25" spans="1:5" x14ac:dyDescent="0.25">
      <c r="A25">
        <v>85</v>
      </c>
      <c r="B25" t="s">
        <v>6</v>
      </c>
      <c r="C25">
        <v>21</v>
      </c>
      <c r="D25">
        <v>54</v>
      </c>
      <c r="E25">
        <v>57</v>
      </c>
    </row>
    <row r="26" spans="1:5" x14ac:dyDescent="0.25">
      <c r="A26">
        <v>106</v>
      </c>
      <c r="B26" t="s">
        <v>6</v>
      </c>
      <c r="C26">
        <v>21</v>
      </c>
      <c r="D26">
        <v>62</v>
      </c>
      <c r="E26">
        <v>42</v>
      </c>
    </row>
    <row r="27" spans="1:5" x14ac:dyDescent="0.25">
      <c r="A27">
        <v>6</v>
      </c>
      <c r="B27" t="s">
        <v>6</v>
      </c>
      <c r="C27">
        <v>22</v>
      </c>
      <c r="D27">
        <v>17</v>
      </c>
      <c r="E27">
        <v>76</v>
      </c>
    </row>
    <row r="28" spans="1:5" x14ac:dyDescent="0.25">
      <c r="A28">
        <v>16</v>
      </c>
      <c r="B28" t="s">
        <v>5</v>
      </c>
      <c r="C28">
        <v>22</v>
      </c>
      <c r="D28">
        <v>20</v>
      </c>
      <c r="E28">
        <v>79</v>
      </c>
    </row>
    <row r="29" spans="1:5" x14ac:dyDescent="0.25">
      <c r="A29">
        <v>88</v>
      </c>
      <c r="B29" t="s">
        <v>6</v>
      </c>
      <c r="C29">
        <v>22</v>
      </c>
      <c r="D29">
        <v>57</v>
      </c>
      <c r="E29">
        <v>55</v>
      </c>
    </row>
    <row r="30" spans="1:5" x14ac:dyDescent="0.25">
      <c r="A30">
        <v>4</v>
      </c>
      <c r="B30" t="s">
        <v>6</v>
      </c>
      <c r="C30">
        <v>23</v>
      </c>
      <c r="D30">
        <v>16</v>
      </c>
      <c r="E30">
        <v>77</v>
      </c>
    </row>
    <row r="31" spans="1:5" x14ac:dyDescent="0.25">
      <c r="A31">
        <v>8</v>
      </c>
      <c r="B31" t="s">
        <v>6</v>
      </c>
      <c r="C31">
        <v>23</v>
      </c>
      <c r="D31">
        <v>18</v>
      </c>
      <c r="E31">
        <v>94</v>
      </c>
    </row>
    <row r="32" spans="1:5" x14ac:dyDescent="0.25">
      <c r="A32">
        <v>30</v>
      </c>
      <c r="B32" t="s">
        <v>6</v>
      </c>
      <c r="C32">
        <v>23</v>
      </c>
      <c r="D32">
        <v>29</v>
      </c>
      <c r="E32">
        <v>87</v>
      </c>
    </row>
    <row r="33" spans="1:5" x14ac:dyDescent="0.25">
      <c r="A33">
        <v>79</v>
      </c>
      <c r="B33" t="s">
        <v>6</v>
      </c>
      <c r="C33">
        <v>23</v>
      </c>
      <c r="D33">
        <v>54</v>
      </c>
      <c r="E33">
        <v>52</v>
      </c>
    </row>
    <row r="34" spans="1:5" x14ac:dyDescent="0.25">
      <c r="A34">
        <v>101</v>
      </c>
      <c r="B34" t="s">
        <v>6</v>
      </c>
      <c r="C34">
        <v>23</v>
      </c>
      <c r="D34">
        <v>62</v>
      </c>
      <c r="E34">
        <v>41</v>
      </c>
    </row>
    <row r="35" spans="1:5" x14ac:dyDescent="0.25">
      <c r="A35">
        <v>125</v>
      </c>
      <c r="B35" t="s">
        <v>6</v>
      </c>
      <c r="C35">
        <v>23</v>
      </c>
      <c r="D35">
        <v>70</v>
      </c>
      <c r="E35">
        <v>29</v>
      </c>
    </row>
    <row r="36" spans="1:5" x14ac:dyDescent="0.25">
      <c r="A36">
        <v>14</v>
      </c>
      <c r="B36" t="s">
        <v>6</v>
      </c>
      <c r="C36">
        <v>24</v>
      </c>
      <c r="D36">
        <v>20</v>
      </c>
      <c r="E36">
        <v>77</v>
      </c>
    </row>
    <row r="37" spans="1:5" x14ac:dyDescent="0.25">
      <c r="A37">
        <v>42</v>
      </c>
      <c r="B37" t="s">
        <v>5</v>
      </c>
      <c r="C37">
        <v>24</v>
      </c>
      <c r="D37">
        <v>38</v>
      </c>
      <c r="E37">
        <v>92</v>
      </c>
    </row>
    <row r="38" spans="1:5" x14ac:dyDescent="0.25">
      <c r="A38">
        <v>46</v>
      </c>
      <c r="B38" t="s">
        <v>6</v>
      </c>
      <c r="C38">
        <v>24</v>
      </c>
      <c r="D38">
        <v>39</v>
      </c>
      <c r="E38">
        <v>65</v>
      </c>
    </row>
    <row r="39" spans="1:5" x14ac:dyDescent="0.25">
      <c r="A39">
        <v>96</v>
      </c>
      <c r="B39" t="s">
        <v>5</v>
      </c>
      <c r="C39">
        <v>24</v>
      </c>
      <c r="D39">
        <v>60</v>
      </c>
      <c r="E39">
        <v>52</v>
      </c>
    </row>
    <row r="40" spans="1:5" x14ac:dyDescent="0.25">
      <c r="A40">
        <v>22</v>
      </c>
      <c r="B40" t="s">
        <v>5</v>
      </c>
      <c r="C40">
        <v>25</v>
      </c>
      <c r="D40">
        <v>24</v>
      </c>
      <c r="E40">
        <v>73</v>
      </c>
    </row>
    <row r="41" spans="1:5" x14ac:dyDescent="0.25">
      <c r="A41">
        <v>133</v>
      </c>
      <c r="B41" t="s">
        <v>6</v>
      </c>
      <c r="C41">
        <v>25</v>
      </c>
      <c r="D41">
        <v>72</v>
      </c>
      <c r="E41">
        <v>34</v>
      </c>
    </row>
    <row r="42" spans="1:5" x14ac:dyDescent="0.25">
      <c r="A42">
        <v>145</v>
      </c>
      <c r="B42" t="s">
        <v>5</v>
      </c>
      <c r="C42">
        <v>25</v>
      </c>
      <c r="D42">
        <v>77</v>
      </c>
      <c r="E42">
        <v>12</v>
      </c>
    </row>
    <row r="43" spans="1:5" x14ac:dyDescent="0.25">
      <c r="A43">
        <v>76</v>
      </c>
      <c r="B43" t="s">
        <v>5</v>
      </c>
      <c r="C43">
        <v>26</v>
      </c>
      <c r="D43">
        <v>54</v>
      </c>
      <c r="E43">
        <v>54</v>
      </c>
    </row>
    <row r="44" spans="1:5" x14ac:dyDescent="0.25">
      <c r="A44">
        <v>104</v>
      </c>
      <c r="B44" t="s">
        <v>5</v>
      </c>
      <c r="C44">
        <v>26</v>
      </c>
      <c r="D44">
        <v>62</v>
      </c>
      <c r="E44">
        <v>55</v>
      </c>
    </row>
    <row r="45" spans="1:5" x14ac:dyDescent="0.25">
      <c r="A45">
        <v>48</v>
      </c>
      <c r="B45" t="s">
        <v>6</v>
      </c>
      <c r="C45">
        <v>27</v>
      </c>
      <c r="D45">
        <v>40</v>
      </c>
      <c r="E45">
        <v>47</v>
      </c>
    </row>
    <row r="46" spans="1:5" x14ac:dyDescent="0.25">
      <c r="A46">
        <v>59</v>
      </c>
      <c r="B46" t="s">
        <v>6</v>
      </c>
      <c r="C46">
        <v>27</v>
      </c>
      <c r="D46">
        <v>46</v>
      </c>
      <c r="E46">
        <v>51</v>
      </c>
    </row>
    <row r="47" spans="1:5" x14ac:dyDescent="0.25">
      <c r="A47">
        <v>98</v>
      </c>
      <c r="B47" t="s">
        <v>6</v>
      </c>
      <c r="C47">
        <v>27</v>
      </c>
      <c r="D47">
        <v>60</v>
      </c>
      <c r="E47">
        <v>50</v>
      </c>
    </row>
    <row r="48" spans="1:5" x14ac:dyDescent="0.25">
      <c r="A48">
        <v>121</v>
      </c>
      <c r="B48" t="s">
        <v>5</v>
      </c>
      <c r="C48">
        <v>27</v>
      </c>
      <c r="D48">
        <v>67</v>
      </c>
      <c r="E48">
        <v>56</v>
      </c>
    </row>
    <row r="49" spans="1:5" x14ac:dyDescent="0.25">
      <c r="A49">
        <v>156</v>
      </c>
      <c r="B49" t="s">
        <v>6</v>
      </c>
      <c r="C49">
        <v>27</v>
      </c>
      <c r="D49">
        <v>78</v>
      </c>
      <c r="E49">
        <v>89</v>
      </c>
    </row>
    <row r="50" spans="1:5" x14ac:dyDescent="0.25">
      <c r="A50">
        <v>178</v>
      </c>
      <c r="B50" t="s">
        <v>5</v>
      </c>
      <c r="C50">
        <v>27</v>
      </c>
      <c r="D50">
        <v>88</v>
      </c>
      <c r="E50">
        <v>69</v>
      </c>
    </row>
    <row r="51" spans="1:5" x14ac:dyDescent="0.25">
      <c r="A51">
        <v>143</v>
      </c>
      <c r="B51" t="s">
        <v>6</v>
      </c>
      <c r="C51">
        <v>28</v>
      </c>
      <c r="D51">
        <v>76</v>
      </c>
      <c r="E51">
        <v>40</v>
      </c>
    </row>
    <row r="52" spans="1:5" x14ac:dyDescent="0.25">
      <c r="A52">
        <v>146</v>
      </c>
      <c r="B52" t="s">
        <v>5</v>
      </c>
      <c r="C52">
        <v>28</v>
      </c>
      <c r="D52">
        <v>77</v>
      </c>
      <c r="E52">
        <v>97</v>
      </c>
    </row>
    <row r="53" spans="1:5" x14ac:dyDescent="0.25">
      <c r="A53">
        <v>172</v>
      </c>
      <c r="B53" t="s">
        <v>5</v>
      </c>
      <c r="C53">
        <v>28</v>
      </c>
      <c r="D53">
        <v>87</v>
      </c>
      <c r="E53">
        <v>75</v>
      </c>
    </row>
    <row r="54" spans="1:5" x14ac:dyDescent="0.25">
      <c r="A54">
        <v>188</v>
      </c>
      <c r="B54" t="s">
        <v>5</v>
      </c>
      <c r="C54">
        <v>28</v>
      </c>
      <c r="D54">
        <v>101</v>
      </c>
      <c r="E54">
        <v>68</v>
      </c>
    </row>
    <row r="55" spans="1:5" x14ac:dyDescent="0.25">
      <c r="A55">
        <v>26</v>
      </c>
      <c r="B55" t="s">
        <v>5</v>
      </c>
      <c r="C55">
        <v>29</v>
      </c>
      <c r="D55">
        <v>28</v>
      </c>
      <c r="E55">
        <v>82</v>
      </c>
    </row>
    <row r="56" spans="1:5" x14ac:dyDescent="0.25">
      <c r="A56">
        <v>49</v>
      </c>
      <c r="B56" t="s">
        <v>6</v>
      </c>
      <c r="C56">
        <v>29</v>
      </c>
      <c r="D56">
        <v>40</v>
      </c>
      <c r="E56">
        <v>42</v>
      </c>
    </row>
    <row r="57" spans="1:5" x14ac:dyDescent="0.25">
      <c r="A57">
        <v>136</v>
      </c>
      <c r="B57" t="s">
        <v>6</v>
      </c>
      <c r="C57">
        <v>29</v>
      </c>
      <c r="D57">
        <v>73</v>
      </c>
      <c r="E57">
        <v>88</v>
      </c>
    </row>
    <row r="58" spans="1:5" x14ac:dyDescent="0.25">
      <c r="A58">
        <v>162</v>
      </c>
      <c r="B58" t="s">
        <v>6</v>
      </c>
      <c r="C58">
        <v>29</v>
      </c>
      <c r="D58">
        <v>79</v>
      </c>
      <c r="E58">
        <v>83</v>
      </c>
    </row>
    <row r="59" spans="1:5" x14ac:dyDescent="0.25">
      <c r="A59">
        <v>184</v>
      </c>
      <c r="B59" t="s">
        <v>6</v>
      </c>
      <c r="C59">
        <v>29</v>
      </c>
      <c r="D59">
        <v>98</v>
      </c>
      <c r="E59">
        <v>88</v>
      </c>
    </row>
    <row r="60" spans="1:5" x14ac:dyDescent="0.25">
      <c r="A60">
        <v>10</v>
      </c>
      <c r="B60" t="s">
        <v>6</v>
      </c>
      <c r="C60">
        <v>30</v>
      </c>
      <c r="D60">
        <v>19</v>
      </c>
      <c r="E60">
        <v>72</v>
      </c>
    </row>
    <row r="61" spans="1:5" x14ac:dyDescent="0.25">
      <c r="A61">
        <v>38</v>
      </c>
      <c r="B61" t="s">
        <v>6</v>
      </c>
      <c r="C61">
        <v>30</v>
      </c>
      <c r="D61">
        <v>34</v>
      </c>
      <c r="E61">
        <v>73</v>
      </c>
    </row>
    <row r="62" spans="1:5" x14ac:dyDescent="0.25">
      <c r="A62">
        <v>158</v>
      </c>
      <c r="B62" t="s">
        <v>6</v>
      </c>
      <c r="C62">
        <v>30</v>
      </c>
      <c r="D62">
        <v>78</v>
      </c>
      <c r="E62">
        <v>78</v>
      </c>
    </row>
    <row r="63" spans="1:5" x14ac:dyDescent="0.25">
      <c r="A63">
        <v>160</v>
      </c>
      <c r="B63" t="s">
        <v>6</v>
      </c>
      <c r="C63">
        <v>30</v>
      </c>
      <c r="D63">
        <v>78</v>
      </c>
      <c r="E63">
        <v>73</v>
      </c>
    </row>
    <row r="64" spans="1:5" x14ac:dyDescent="0.25">
      <c r="A64">
        <v>176</v>
      </c>
      <c r="B64" t="s">
        <v>6</v>
      </c>
      <c r="C64">
        <v>30</v>
      </c>
      <c r="D64">
        <v>88</v>
      </c>
      <c r="E64">
        <v>86</v>
      </c>
    </row>
    <row r="65" spans="1:5" x14ac:dyDescent="0.25">
      <c r="A65">
        <v>186</v>
      </c>
      <c r="B65" t="s">
        <v>5</v>
      </c>
      <c r="C65">
        <v>30</v>
      </c>
      <c r="D65">
        <v>99</v>
      </c>
      <c r="E65">
        <v>97</v>
      </c>
    </row>
    <row r="66" spans="1:5" x14ac:dyDescent="0.25">
      <c r="A66">
        <v>200</v>
      </c>
      <c r="B66" t="s">
        <v>5</v>
      </c>
      <c r="C66">
        <v>30</v>
      </c>
      <c r="D66">
        <v>137</v>
      </c>
      <c r="E66">
        <v>83</v>
      </c>
    </row>
    <row r="67" spans="1:5" x14ac:dyDescent="0.25">
      <c r="A67">
        <v>5</v>
      </c>
      <c r="B67" t="s">
        <v>6</v>
      </c>
      <c r="C67">
        <v>31</v>
      </c>
      <c r="D67">
        <v>17</v>
      </c>
      <c r="E67">
        <v>40</v>
      </c>
    </row>
    <row r="68" spans="1:5" x14ac:dyDescent="0.25">
      <c r="A68">
        <v>24</v>
      </c>
      <c r="B68" t="s">
        <v>5</v>
      </c>
      <c r="C68">
        <v>31</v>
      </c>
      <c r="D68">
        <v>25</v>
      </c>
      <c r="E68">
        <v>73</v>
      </c>
    </row>
    <row r="69" spans="1:5" x14ac:dyDescent="0.25">
      <c r="A69">
        <v>44</v>
      </c>
      <c r="B69" t="s">
        <v>6</v>
      </c>
      <c r="C69">
        <v>31</v>
      </c>
      <c r="D69">
        <v>39</v>
      </c>
      <c r="E69">
        <v>61</v>
      </c>
    </row>
    <row r="70" spans="1:5" x14ac:dyDescent="0.25">
      <c r="A70">
        <v>50</v>
      </c>
      <c r="B70" t="s">
        <v>6</v>
      </c>
      <c r="C70">
        <v>31</v>
      </c>
      <c r="D70">
        <v>40</v>
      </c>
      <c r="E70">
        <v>42</v>
      </c>
    </row>
    <row r="71" spans="1:5" x14ac:dyDescent="0.25">
      <c r="A71">
        <v>53</v>
      </c>
      <c r="B71" t="s">
        <v>6</v>
      </c>
      <c r="C71">
        <v>31</v>
      </c>
      <c r="D71">
        <v>43</v>
      </c>
      <c r="E71">
        <v>54</v>
      </c>
    </row>
    <row r="72" spans="1:5" x14ac:dyDescent="0.25">
      <c r="A72">
        <v>126</v>
      </c>
      <c r="B72" t="s">
        <v>6</v>
      </c>
      <c r="C72">
        <v>31</v>
      </c>
      <c r="D72">
        <v>70</v>
      </c>
      <c r="E72">
        <v>77</v>
      </c>
    </row>
    <row r="73" spans="1:5" x14ac:dyDescent="0.25">
      <c r="A73">
        <v>134</v>
      </c>
      <c r="B73" t="s">
        <v>6</v>
      </c>
      <c r="C73">
        <v>31</v>
      </c>
      <c r="D73">
        <v>72</v>
      </c>
      <c r="E73">
        <v>71</v>
      </c>
    </row>
    <row r="74" spans="1:5" x14ac:dyDescent="0.25">
      <c r="A74">
        <v>164</v>
      </c>
      <c r="B74" t="s">
        <v>6</v>
      </c>
      <c r="C74">
        <v>31</v>
      </c>
      <c r="D74">
        <v>81</v>
      </c>
      <c r="E74">
        <v>93</v>
      </c>
    </row>
    <row r="75" spans="1:5" x14ac:dyDescent="0.25">
      <c r="A75">
        <v>70</v>
      </c>
      <c r="B75" t="s">
        <v>6</v>
      </c>
      <c r="C75">
        <v>32</v>
      </c>
      <c r="D75">
        <v>48</v>
      </c>
      <c r="E75">
        <v>47</v>
      </c>
    </row>
    <row r="76" spans="1:5" x14ac:dyDescent="0.25">
      <c r="A76">
        <v>95</v>
      </c>
      <c r="B76" t="s">
        <v>6</v>
      </c>
      <c r="C76">
        <v>32</v>
      </c>
      <c r="D76">
        <v>60</v>
      </c>
      <c r="E76">
        <v>42</v>
      </c>
    </row>
    <row r="77" spans="1:5" x14ac:dyDescent="0.25">
      <c r="A77">
        <v>138</v>
      </c>
      <c r="B77" t="s">
        <v>5</v>
      </c>
      <c r="C77">
        <v>32</v>
      </c>
      <c r="D77">
        <v>73</v>
      </c>
      <c r="E77">
        <v>73</v>
      </c>
    </row>
    <row r="78" spans="1:5" x14ac:dyDescent="0.25">
      <c r="A78">
        <v>142</v>
      </c>
      <c r="B78" t="s">
        <v>5</v>
      </c>
      <c r="C78">
        <v>32</v>
      </c>
      <c r="D78">
        <v>75</v>
      </c>
      <c r="E78">
        <v>93</v>
      </c>
    </row>
    <row r="79" spans="1:5" x14ac:dyDescent="0.25">
      <c r="A79">
        <v>144</v>
      </c>
      <c r="B79" t="s">
        <v>6</v>
      </c>
      <c r="C79">
        <v>32</v>
      </c>
      <c r="D79">
        <v>76</v>
      </c>
      <c r="E79">
        <v>87</v>
      </c>
    </row>
    <row r="80" spans="1:5" x14ac:dyDescent="0.25">
      <c r="A80">
        <v>148</v>
      </c>
      <c r="B80" t="s">
        <v>6</v>
      </c>
      <c r="C80">
        <v>32</v>
      </c>
      <c r="D80">
        <v>77</v>
      </c>
      <c r="E80">
        <v>74</v>
      </c>
    </row>
    <row r="81" spans="1:5" x14ac:dyDescent="0.25">
      <c r="A81">
        <v>170</v>
      </c>
      <c r="B81" t="s">
        <v>5</v>
      </c>
      <c r="C81">
        <v>32</v>
      </c>
      <c r="D81">
        <v>87</v>
      </c>
      <c r="E81">
        <v>63</v>
      </c>
    </row>
    <row r="82" spans="1:5" x14ac:dyDescent="0.25">
      <c r="A82">
        <v>182</v>
      </c>
      <c r="B82" t="s">
        <v>6</v>
      </c>
      <c r="C82">
        <v>32</v>
      </c>
      <c r="D82">
        <v>97</v>
      </c>
      <c r="E82">
        <v>86</v>
      </c>
    </row>
    <row r="83" spans="1:5" x14ac:dyDescent="0.25">
      <c r="A83">
        <v>192</v>
      </c>
      <c r="B83" t="s">
        <v>6</v>
      </c>
      <c r="C83">
        <v>32</v>
      </c>
      <c r="D83">
        <v>103</v>
      </c>
      <c r="E83">
        <v>69</v>
      </c>
    </row>
    <row r="84" spans="1:5" x14ac:dyDescent="0.25">
      <c r="A84">
        <v>198</v>
      </c>
      <c r="B84" t="s">
        <v>5</v>
      </c>
      <c r="C84">
        <v>32</v>
      </c>
      <c r="D84">
        <v>126</v>
      </c>
      <c r="E84">
        <v>74</v>
      </c>
    </row>
    <row r="85" spans="1:5" x14ac:dyDescent="0.25">
      <c r="A85">
        <v>199</v>
      </c>
      <c r="B85" t="s">
        <v>5</v>
      </c>
      <c r="C85">
        <v>32</v>
      </c>
      <c r="D85">
        <v>137</v>
      </c>
      <c r="E85">
        <v>18</v>
      </c>
    </row>
    <row r="86" spans="1:5" x14ac:dyDescent="0.25">
      <c r="A86">
        <v>52</v>
      </c>
      <c r="B86" t="s">
        <v>5</v>
      </c>
      <c r="C86">
        <v>33</v>
      </c>
      <c r="D86">
        <v>42</v>
      </c>
      <c r="E86">
        <v>60</v>
      </c>
    </row>
    <row r="87" spans="1:5" x14ac:dyDescent="0.25">
      <c r="A87">
        <v>168</v>
      </c>
      <c r="B87" t="s">
        <v>6</v>
      </c>
      <c r="C87">
        <v>33</v>
      </c>
      <c r="D87">
        <v>86</v>
      </c>
      <c r="E87">
        <v>95</v>
      </c>
    </row>
    <row r="88" spans="1:5" x14ac:dyDescent="0.25">
      <c r="A88">
        <v>193</v>
      </c>
      <c r="B88" t="s">
        <v>5</v>
      </c>
      <c r="C88">
        <v>33</v>
      </c>
      <c r="D88">
        <v>113</v>
      </c>
      <c r="E88">
        <v>8</v>
      </c>
    </row>
    <row r="89" spans="1:5" x14ac:dyDescent="0.25">
      <c r="A89">
        <v>89</v>
      </c>
      <c r="B89" t="s">
        <v>6</v>
      </c>
      <c r="C89">
        <v>34</v>
      </c>
      <c r="D89">
        <v>58</v>
      </c>
      <c r="E89">
        <v>60</v>
      </c>
    </row>
    <row r="90" spans="1:5" x14ac:dyDescent="0.25">
      <c r="A90">
        <v>149</v>
      </c>
      <c r="B90" t="s">
        <v>6</v>
      </c>
      <c r="C90">
        <v>34</v>
      </c>
      <c r="D90">
        <v>78</v>
      </c>
      <c r="E90">
        <v>22</v>
      </c>
    </row>
    <row r="91" spans="1:5" x14ac:dyDescent="0.25">
      <c r="A91">
        <v>150</v>
      </c>
      <c r="B91" t="s">
        <v>5</v>
      </c>
      <c r="C91">
        <v>34</v>
      </c>
      <c r="D91">
        <v>78</v>
      </c>
      <c r="E91">
        <v>90</v>
      </c>
    </row>
    <row r="92" spans="1:5" x14ac:dyDescent="0.25">
      <c r="A92">
        <v>159</v>
      </c>
      <c r="B92" t="s">
        <v>5</v>
      </c>
      <c r="C92">
        <v>34</v>
      </c>
      <c r="D92">
        <v>78</v>
      </c>
      <c r="E92">
        <v>1</v>
      </c>
    </row>
    <row r="93" spans="1:5" x14ac:dyDescent="0.25">
      <c r="A93">
        <v>191</v>
      </c>
      <c r="B93" t="s">
        <v>6</v>
      </c>
      <c r="C93">
        <v>34</v>
      </c>
      <c r="D93">
        <v>103</v>
      </c>
      <c r="E93">
        <v>23</v>
      </c>
    </row>
    <row r="94" spans="1:5" x14ac:dyDescent="0.25">
      <c r="A94">
        <v>7</v>
      </c>
      <c r="B94" t="s">
        <v>6</v>
      </c>
      <c r="C94">
        <v>35</v>
      </c>
      <c r="D94">
        <v>18</v>
      </c>
      <c r="E94">
        <v>6</v>
      </c>
    </row>
    <row r="95" spans="1:5" x14ac:dyDescent="0.25">
      <c r="A95">
        <v>12</v>
      </c>
      <c r="B95" t="s">
        <v>6</v>
      </c>
      <c r="C95">
        <v>35</v>
      </c>
      <c r="D95">
        <v>19</v>
      </c>
      <c r="E95">
        <v>99</v>
      </c>
    </row>
    <row r="96" spans="1:5" x14ac:dyDescent="0.25">
      <c r="A96">
        <v>17</v>
      </c>
      <c r="B96" t="s">
        <v>6</v>
      </c>
      <c r="C96">
        <v>35</v>
      </c>
      <c r="D96">
        <v>21</v>
      </c>
      <c r="E96">
        <v>35</v>
      </c>
    </row>
    <row r="97" spans="1:5" x14ac:dyDescent="0.25">
      <c r="A97">
        <v>20</v>
      </c>
      <c r="B97" t="s">
        <v>6</v>
      </c>
      <c r="C97">
        <v>35</v>
      </c>
      <c r="D97">
        <v>23</v>
      </c>
      <c r="E97">
        <v>98</v>
      </c>
    </row>
    <row r="98" spans="1:5" x14ac:dyDescent="0.25">
      <c r="A98">
        <v>21</v>
      </c>
      <c r="B98" t="s">
        <v>5</v>
      </c>
      <c r="C98">
        <v>35</v>
      </c>
      <c r="D98">
        <v>24</v>
      </c>
      <c r="E98">
        <v>35</v>
      </c>
    </row>
    <row r="99" spans="1:5" x14ac:dyDescent="0.25">
      <c r="A99">
        <v>28</v>
      </c>
      <c r="B99" t="s">
        <v>5</v>
      </c>
      <c r="C99">
        <v>35</v>
      </c>
      <c r="D99">
        <v>28</v>
      </c>
      <c r="E99">
        <v>61</v>
      </c>
    </row>
    <row r="100" spans="1:5" x14ac:dyDescent="0.25">
      <c r="A100">
        <v>140</v>
      </c>
      <c r="B100" t="s">
        <v>6</v>
      </c>
      <c r="C100">
        <v>35</v>
      </c>
      <c r="D100">
        <v>74</v>
      </c>
      <c r="E100">
        <v>72</v>
      </c>
    </row>
    <row r="101" spans="1:5" x14ac:dyDescent="0.25">
      <c r="A101">
        <v>180</v>
      </c>
      <c r="B101" t="s">
        <v>5</v>
      </c>
      <c r="C101">
        <v>35</v>
      </c>
      <c r="D101">
        <v>93</v>
      </c>
      <c r="E101">
        <v>90</v>
      </c>
    </row>
    <row r="102" spans="1:5" x14ac:dyDescent="0.25">
      <c r="A102">
        <v>196</v>
      </c>
      <c r="B102" t="s">
        <v>6</v>
      </c>
      <c r="C102">
        <v>35</v>
      </c>
      <c r="D102">
        <v>120</v>
      </c>
      <c r="E102">
        <v>79</v>
      </c>
    </row>
    <row r="103" spans="1:5" x14ac:dyDescent="0.25">
      <c r="A103">
        <v>39</v>
      </c>
      <c r="B103" t="s">
        <v>6</v>
      </c>
      <c r="C103">
        <v>36</v>
      </c>
      <c r="D103">
        <v>37</v>
      </c>
      <c r="E103">
        <v>26</v>
      </c>
    </row>
    <row r="104" spans="1:5" x14ac:dyDescent="0.25">
      <c r="A104">
        <v>166</v>
      </c>
      <c r="B104" t="s">
        <v>6</v>
      </c>
      <c r="C104">
        <v>36</v>
      </c>
      <c r="D104">
        <v>85</v>
      </c>
      <c r="E104">
        <v>75</v>
      </c>
    </row>
    <row r="105" spans="1:5" x14ac:dyDescent="0.25">
      <c r="A105">
        <v>169</v>
      </c>
      <c r="B105" t="s">
        <v>6</v>
      </c>
      <c r="C105">
        <v>36</v>
      </c>
      <c r="D105">
        <v>87</v>
      </c>
      <c r="E105">
        <v>27</v>
      </c>
    </row>
    <row r="106" spans="1:5" x14ac:dyDescent="0.25">
      <c r="A106">
        <v>173</v>
      </c>
      <c r="B106" t="s">
        <v>5</v>
      </c>
      <c r="C106">
        <v>36</v>
      </c>
      <c r="D106">
        <v>87</v>
      </c>
      <c r="E106">
        <v>10</v>
      </c>
    </row>
    <row r="107" spans="1:5" x14ac:dyDescent="0.25">
      <c r="A107">
        <v>174</v>
      </c>
      <c r="B107" t="s">
        <v>5</v>
      </c>
      <c r="C107">
        <v>36</v>
      </c>
      <c r="D107">
        <v>87</v>
      </c>
      <c r="E107">
        <v>92</v>
      </c>
    </row>
    <row r="108" spans="1:5" x14ac:dyDescent="0.25">
      <c r="A108">
        <v>190</v>
      </c>
      <c r="B108" t="s">
        <v>6</v>
      </c>
      <c r="C108">
        <v>36</v>
      </c>
      <c r="D108">
        <v>103</v>
      </c>
      <c r="E108">
        <v>85</v>
      </c>
    </row>
    <row r="109" spans="1:5" x14ac:dyDescent="0.25">
      <c r="A109">
        <v>15</v>
      </c>
      <c r="B109" t="s">
        <v>5</v>
      </c>
      <c r="C109">
        <v>37</v>
      </c>
      <c r="D109">
        <v>20</v>
      </c>
      <c r="E109">
        <v>13</v>
      </c>
    </row>
    <row r="110" spans="1:5" x14ac:dyDescent="0.25">
      <c r="A110">
        <v>157</v>
      </c>
      <c r="B110" t="s">
        <v>5</v>
      </c>
      <c r="C110">
        <v>37</v>
      </c>
      <c r="D110">
        <v>78</v>
      </c>
      <c r="E110">
        <v>1</v>
      </c>
    </row>
    <row r="111" spans="1:5" x14ac:dyDescent="0.25">
      <c r="A111">
        <v>181</v>
      </c>
      <c r="B111" t="s">
        <v>6</v>
      </c>
      <c r="C111">
        <v>37</v>
      </c>
      <c r="D111">
        <v>97</v>
      </c>
      <c r="E111">
        <v>32</v>
      </c>
    </row>
    <row r="112" spans="1:5" x14ac:dyDescent="0.25">
      <c r="A112">
        <v>82</v>
      </c>
      <c r="B112" t="s">
        <v>5</v>
      </c>
      <c r="C112">
        <v>38</v>
      </c>
      <c r="D112">
        <v>54</v>
      </c>
      <c r="E112">
        <v>55</v>
      </c>
    </row>
    <row r="113" spans="1:5" x14ac:dyDescent="0.25">
      <c r="A113">
        <v>113</v>
      </c>
      <c r="B113" t="s">
        <v>6</v>
      </c>
      <c r="C113">
        <v>38</v>
      </c>
      <c r="D113">
        <v>64</v>
      </c>
      <c r="E113">
        <v>42</v>
      </c>
    </row>
    <row r="114" spans="1:5" x14ac:dyDescent="0.25">
      <c r="A114">
        <v>122</v>
      </c>
      <c r="B114" t="s">
        <v>6</v>
      </c>
      <c r="C114">
        <v>38</v>
      </c>
      <c r="D114">
        <v>67</v>
      </c>
      <c r="E114">
        <v>40</v>
      </c>
    </row>
    <row r="115" spans="1:5" x14ac:dyDescent="0.25">
      <c r="A115">
        <v>130</v>
      </c>
      <c r="B115" t="s">
        <v>5</v>
      </c>
      <c r="C115">
        <v>38</v>
      </c>
      <c r="D115">
        <v>71</v>
      </c>
      <c r="E115">
        <v>75</v>
      </c>
    </row>
    <row r="116" spans="1:5" x14ac:dyDescent="0.25">
      <c r="A116">
        <v>154</v>
      </c>
      <c r="B116" t="s">
        <v>6</v>
      </c>
      <c r="C116">
        <v>38</v>
      </c>
      <c r="D116">
        <v>78</v>
      </c>
      <c r="E116">
        <v>76</v>
      </c>
    </row>
    <row r="117" spans="1:5" x14ac:dyDescent="0.25">
      <c r="A117">
        <v>194</v>
      </c>
      <c r="B117" t="s">
        <v>6</v>
      </c>
      <c r="C117">
        <v>38</v>
      </c>
      <c r="D117">
        <v>113</v>
      </c>
      <c r="E117">
        <v>91</v>
      </c>
    </row>
    <row r="118" spans="1:5" x14ac:dyDescent="0.25">
      <c r="A118">
        <v>124</v>
      </c>
      <c r="B118" t="s">
        <v>5</v>
      </c>
      <c r="C118">
        <v>39</v>
      </c>
      <c r="D118">
        <v>69</v>
      </c>
      <c r="E118">
        <v>91</v>
      </c>
    </row>
    <row r="119" spans="1:5" x14ac:dyDescent="0.25">
      <c r="A119">
        <v>132</v>
      </c>
      <c r="B119" t="s">
        <v>5</v>
      </c>
      <c r="C119">
        <v>39</v>
      </c>
      <c r="D119">
        <v>71</v>
      </c>
      <c r="E119">
        <v>75</v>
      </c>
    </row>
    <row r="120" spans="1:5" x14ac:dyDescent="0.25">
      <c r="A120">
        <v>152</v>
      </c>
      <c r="B120" t="s">
        <v>5</v>
      </c>
      <c r="C120">
        <v>39</v>
      </c>
      <c r="D120">
        <v>78</v>
      </c>
      <c r="E120">
        <v>88</v>
      </c>
    </row>
    <row r="121" spans="1:5" x14ac:dyDescent="0.25">
      <c r="A121">
        <v>29</v>
      </c>
      <c r="B121" t="s">
        <v>6</v>
      </c>
      <c r="C121">
        <v>40</v>
      </c>
      <c r="D121">
        <v>29</v>
      </c>
      <c r="E121">
        <v>31</v>
      </c>
    </row>
    <row r="122" spans="1:5" x14ac:dyDescent="0.25">
      <c r="A122">
        <v>78</v>
      </c>
      <c r="B122" t="s">
        <v>5</v>
      </c>
      <c r="C122">
        <v>40</v>
      </c>
      <c r="D122">
        <v>54</v>
      </c>
      <c r="E122">
        <v>48</v>
      </c>
    </row>
    <row r="123" spans="1:5" x14ac:dyDescent="0.25">
      <c r="A123">
        <v>94</v>
      </c>
      <c r="B123" t="s">
        <v>6</v>
      </c>
      <c r="C123">
        <v>40</v>
      </c>
      <c r="D123">
        <v>60</v>
      </c>
      <c r="E123">
        <v>40</v>
      </c>
    </row>
    <row r="124" spans="1:5" x14ac:dyDescent="0.2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25">
      <c r="A125">
        <v>128</v>
      </c>
      <c r="B125" t="s">
        <v>5</v>
      </c>
      <c r="C125">
        <v>40</v>
      </c>
      <c r="D125">
        <v>71</v>
      </c>
      <c r="E125">
        <v>95</v>
      </c>
    </row>
    <row r="126" spans="1:5" x14ac:dyDescent="0.25">
      <c r="A126">
        <v>171</v>
      </c>
      <c r="B126" t="s">
        <v>5</v>
      </c>
      <c r="C126">
        <v>40</v>
      </c>
      <c r="D126">
        <v>87</v>
      </c>
      <c r="E126">
        <v>13</v>
      </c>
    </row>
    <row r="127" spans="1:5" x14ac:dyDescent="0.25">
      <c r="A127">
        <v>185</v>
      </c>
      <c r="B127" t="s">
        <v>6</v>
      </c>
      <c r="C127">
        <v>41</v>
      </c>
      <c r="D127">
        <v>99</v>
      </c>
      <c r="E127">
        <v>39</v>
      </c>
    </row>
    <row r="128" spans="1:5" x14ac:dyDescent="0.25">
      <c r="A128">
        <v>189</v>
      </c>
      <c r="B128" t="s">
        <v>6</v>
      </c>
      <c r="C128">
        <v>41</v>
      </c>
      <c r="D128">
        <v>103</v>
      </c>
      <c r="E128">
        <v>17</v>
      </c>
    </row>
    <row r="129" spans="1:5" x14ac:dyDescent="0.25">
      <c r="A129">
        <v>37</v>
      </c>
      <c r="B129" t="s">
        <v>6</v>
      </c>
      <c r="C129">
        <v>42</v>
      </c>
      <c r="D129">
        <v>34</v>
      </c>
      <c r="E129">
        <v>17</v>
      </c>
    </row>
    <row r="130" spans="1:5" x14ac:dyDescent="0.25">
      <c r="A130">
        <v>167</v>
      </c>
      <c r="B130" t="s">
        <v>5</v>
      </c>
      <c r="C130">
        <v>42</v>
      </c>
      <c r="D130">
        <v>86</v>
      </c>
      <c r="E130">
        <v>20</v>
      </c>
    </row>
    <row r="131" spans="1:5" x14ac:dyDescent="0.25">
      <c r="A131">
        <v>67</v>
      </c>
      <c r="B131" t="s">
        <v>6</v>
      </c>
      <c r="C131">
        <v>43</v>
      </c>
      <c r="D131">
        <v>48</v>
      </c>
      <c r="E131">
        <v>50</v>
      </c>
    </row>
    <row r="132" spans="1:5" x14ac:dyDescent="0.25">
      <c r="A132">
        <v>127</v>
      </c>
      <c r="B132" t="s">
        <v>5</v>
      </c>
      <c r="C132">
        <v>43</v>
      </c>
      <c r="D132">
        <v>71</v>
      </c>
      <c r="E132">
        <v>35</v>
      </c>
    </row>
    <row r="133" spans="1:5" x14ac:dyDescent="0.25">
      <c r="A133">
        <v>151</v>
      </c>
      <c r="B133" t="s">
        <v>5</v>
      </c>
      <c r="C133">
        <v>43</v>
      </c>
      <c r="D133">
        <v>78</v>
      </c>
      <c r="E133">
        <v>17</v>
      </c>
    </row>
    <row r="134" spans="1:5" x14ac:dyDescent="0.25">
      <c r="A134">
        <v>137</v>
      </c>
      <c r="B134" t="s">
        <v>6</v>
      </c>
      <c r="C134">
        <v>44</v>
      </c>
      <c r="D134">
        <v>73</v>
      </c>
      <c r="E134">
        <v>7</v>
      </c>
    </row>
    <row r="135" spans="1:5" x14ac:dyDescent="0.25">
      <c r="A135">
        <v>153</v>
      </c>
      <c r="B135" t="s">
        <v>6</v>
      </c>
      <c r="C135">
        <v>44</v>
      </c>
      <c r="D135">
        <v>78</v>
      </c>
      <c r="E135">
        <v>20</v>
      </c>
    </row>
    <row r="136" spans="1:5" x14ac:dyDescent="0.25">
      <c r="A136">
        <v>27</v>
      </c>
      <c r="B136" t="s">
        <v>6</v>
      </c>
      <c r="C136">
        <v>45</v>
      </c>
      <c r="D136">
        <v>28</v>
      </c>
      <c r="E136">
        <v>32</v>
      </c>
    </row>
    <row r="137" spans="1:5" x14ac:dyDescent="0.25">
      <c r="A137">
        <v>77</v>
      </c>
      <c r="B137" t="s">
        <v>6</v>
      </c>
      <c r="C137">
        <v>45</v>
      </c>
      <c r="D137">
        <v>54</v>
      </c>
      <c r="E137">
        <v>53</v>
      </c>
    </row>
    <row r="138" spans="1:5" x14ac:dyDescent="0.25">
      <c r="A138">
        <v>197</v>
      </c>
      <c r="B138" t="s">
        <v>6</v>
      </c>
      <c r="C138">
        <v>45</v>
      </c>
      <c r="D138">
        <v>126</v>
      </c>
      <c r="E138">
        <v>28</v>
      </c>
    </row>
    <row r="139" spans="1:5" x14ac:dyDescent="0.25">
      <c r="A139">
        <v>23</v>
      </c>
      <c r="B139" t="s">
        <v>6</v>
      </c>
      <c r="C139">
        <v>46</v>
      </c>
      <c r="D139">
        <v>25</v>
      </c>
      <c r="E139">
        <v>5</v>
      </c>
    </row>
    <row r="140" spans="1:5" x14ac:dyDescent="0.25">
      <c r="A140">
        <v>84</v>
      </c>
      <c r="B140" t="s">
        <v>6</v>
      </c>
      <c r="C140">
        <v>46</v>
      </c>
      <c r="D140">
        <v>54</v>
      </c>
      <c r="E140">
        <v>44</v>
      </c>
    </row>
    <row r="141" spans="1:5" x14ac:dyDescent="0.25">
      <c r="A141">
        <v>183</v>
      </c>
      <c r="B141" t="s">
        <v>5</v>
      </c>
      <c r="C141">
        <v>46</v>
      </c>
      <c r="D141">
        <v>98</v>
      </c>
      <c r="E141">
        <v>15</v>
      </c>
    </row>
    <row r="142" spans="1:5" x14ac:dyDescent="0.25">
      <c r="A142">
        <v>56</v>
      </c>
      <c r="B142" t="s">
        <v>5</v>
      </c>
      <c r="C142">
        <v>47</v>
      </c>
      <c r="D142">
        <v>43</v>
      </c>
      <c r="E142">
        <v>41</v>
      </c>
    </row>
    <row r="143" spans="1:5" x14ac:dyDescent="0.25">
      <c r="A143">
        <v>72</v>
      </c>
      <c r="B143" t="s">
        <v>6</v>
      </c>
      <c r="C143">
        <v>47</v>
      </c>
      <c r="D143">
        <v>49</v>
      </c>
      <c r="E143">
        <v>42</v>
      </c>
    </row>
    <row r="144" spans="1:5" x14ac:dyDescent="0.25">
      <c r="A144">
        <v>97</v>
      </c>
      <c r="B144" t="s">
        <v>6</v>
      </c>
      <c r="C144">
        <v>47</v>
      </c>
      <c r="D144">
        <v>60</v>
      </c>
      <c r="E144">
        <v>47</v>
      </c>
    </row>
    <row r="145" spans="1:5" x14ac:dyDescent="0.25">
      <c r="A145">
        <v>131</v>
      </c>
      <c r="B145" t="s">
        <v>5</v>
      </c>
      <c r="C145">
        <v>47</v>
      </c>
      <c r="D145">
        <v>71</v>
      </c>
      <c r="E145">
        <v>9</v>
      </c>
    </row>
    <row r="146" spans="1:5" x14ac:dyDescent="0.25">
      <c r="A146">
        <v>155</v>
      </c>
      <c r="B146" t="s">
        <v>6</v>
      </c>
      <c r="C146">
        <v>47</v>
      </c>
      <c r="D146">
        <v>78</v>
      </c>
      <c r="E146">
        <v>16</v>
      </c>
    </row>
    <row r="147" spans="1:5" x14ac:dyDescent="0.25">
      <c r="A147">
        <v>195</v>
      </c>
      <c r="B147" t="s">
        <v>6</v>
      </c>
      <c r="C147">
        <v>47</v>
      </c>
      <c r="D147">
        <v>120</v>
      </c>
      <c r="E147">
        <v>16</v>
      </c>
    </row>
    <row r="148" spans="1:5" x14ac:dyDescent="0.25">
      <c r="A148">
        <v>43</v>
      </c>
      <c r="B148" t="s">
        <v>5</v>
      </c>
      <c r="C148">
        <v>48</v>
      </c>
      <c r="D148">
        <v>39</v>
      </c>
      <c r="E148">
        <v>36</v>
      </c>
    </row>
    <row r="149" spans="1:5" x14ac:dyDescent="0.25">
      <c r="A149">
        <v>86</v>
      </c>
      <c r="B149" t="s">
        <v>5</v>
      </c>
      <c r="C149">
        <v>48</v>
      </c>
      <c r="D149">
        <v>54</v>
      </c>
      <c r="E149">
        <v>46</v>
      </c>
    </row>
    <row r="150" spans="1:5" x14ac:dyDescent="0.25">
      <c r="A150">
        <v>93</v>
      </c>
      <c r="B150" t="s">
        <v>5</v>
      </c>
      <c r="C150">
        <v>48</v>
      </c>
      <c r="D150">
        <v>60</v>
      </c>
      <c r="E150">
        <v>49</v>
      </c>
    </row>
    <row r="151" spans="1:5" x14ac:dyDescent="0.25">
      <c r="A151">
        <v>99</v>
      </c>
      <c r="B151" t="s">
        <v>5</v>
      </c>
      <c r="C151">
        <v>48</v>
      </c>
      <c r="D151">
        <v>61</v>
      </c>
      <c r="E151">
        <v>42</v>
      </c>
    </row>
    <row r="152" spans="1:5" x14ac:dyDescent="0.25">
      <c r="A152">
        <v>147</v>
      </c>
      <c r="B152" t="s">
        <v>5</v>
      </c>
      <c r="C152">
        <v>48</v>
      </c>
      <c r="D152">
        <v>77</v>
      </c>
      <c r="E152">
        <v>36</v>
      </c>
    </row>
    <row r="153" spans="1:5" x14ac:dyDescent="0.25">
      <c r="A153">
        <v>35</v>
      </c>
      <c r="B153" t="s">
        <v>6</v>
      </c>
      <c r="C153">
        <v>49</v>
      </c>
      <c r="D153">
        <v>33</v>
      </c>
      <c r="E153">
        <v>14</v>
      </c>
    </row>
    <row r="154" spans="1:5" x14ac:dyDescent="0.25">
      <c r="A154">
        <v>45</v>
      </c>
      <c r="B154" t="s">
        <v>6</v>
      </c>
      <c r="C154">
        <v>49</v>
      </c>
      <c r="D154">
        <v>39</v>
      </c>
      <c r="E154">
        <v>28</v>
      </c>
    </row>
    <row r="155" spans="1:5" x14ac:dyDescent="0.25">
      <c r="A155">
        <v>51</v>
      </c>
      <c r="B155" t="s">
        <v>6</v>
      </c>
      <c r="C155">
        <v>49</v>
      </c>
      <c r="D155">
        <v>42</v>
      </c>
      <c r="E155">
        <v>52</v>
      </c>
    </row>
    <row r="156" spans="1:5" x14ac:dyDescent="0.25">
      <c r="A156">
        <v>80</v>
      </c>
      <c r="B156" t="s">
        <v>6</v>
      </c>
      <c r="C156">
        <v>49</v>
      </c>
      <c r="D156">
        <v>54</v>
      </c>
      <c r="E156">
        <v>42</v>
      </c>
    </row>
    <row r="157" spans="1:5" x14ac:dyDescent="0.25">
      <c r="A157">
        <v>102</v>
      </c>
      <c r="B157" t="s">
        <v>6</v>
      </c>
      <c r="C157">
        <v>49</v>
      </c>
      <c r="D157">
        <v>62</v>
      </c>
      <c r="E157">
        <v>48</v>
      </c>
    </row>
    <row r="158" spans="1:5" x14ac:dyDescent="0.25">
      <c r="A158">
        <v>105</v>
      </c>
      <c r="B158" t="s">
        <v>5</v>
      </c>
      <c r="C158">
        <v>49</v>
      </c>
      <c r="D158">
        <v>62</v>
      </c>
      <c r="E158">
        <v>56</v>
      </c>
    </row>
    <row r="159" spans="1:5" x14ac:dyDescent="0.25">
      <c r="A159">
        <v>118</v>
      </c>
      <c r="B159" t="s">
        <v>6</v>
      </c>
      <c r="C159">
        <v>49</v>
      </c>
      <c r="D159">
        <v>65</v>
      </c>
      <c r="E159">
        <v>59</v>
      </c>
    </row>
    <row r="160" spans="1:5" x14ac:dyDescent="0.25">
      <c r="A160">
        <v>47</v>
      </c>
      <c r="B160" t="s">
        <v>6</v>
      </c>
      <c r="C160">
        <v>50</v>
      </c>
      <c r="D160">
        <v>40</v>
      </c>
      <c r="E160">
        <v>55</v>
      </c>
    </row>
    <row r="161" spans="1:5" x14ac:dyDescent="0.25">
      <c r="A161">
        <v>55</v>
      </c>
      <c r="B161" t="s">
        <v>6</v>
      </c>
      <c r="C161">
        <v>50</v>
      </c>
      <c r="D161">
        <v>43</v>
      </c>
      <c r="E161">
        <v>45</v>
      </c>
    </row>
    <row r="162" spans="1:5" x14ac:dyDescent="0.25">
      <c r="A162">
        <v>90</v>
      </c>
      <c r="B162" t="s">
        <v>6</v>
      </c>
      <c r="C162">
        <v>50</v>
      </c>
      <c r="D162">
        <v>58</v>
      </c>
      <c r="E162">
        <v>46</v>
      </c>
    </row>
    <row r="163" spans="1:5" x14ac:dyDescent="0.25">
      <c r="A163">
        <v>120</v>
      </c>
      <c r="B163" t="s">
        <v>6</v>
      </c>
      <c r="C163">
        <v>50</v>
      </c>
      <c r="D163">
        <v>67</v>
      </c>
      <c r="E163">
        <v>57</v>
      </c>
    </row>
    <row r="164" spans="1:5" x14ac:dyDescent="0.25">
      <c r="A164">
        <v>165</v>
      </c>
      <c r="B164" t="s">
        <v>5</v>
      </c>
      <c r="C164">
        <v>50</v>
      </c>
      <c r="D164">
        <v>85</v>
      </c>
      <c r="E164">
        <v>26</v>
      </c>
    </row>
    <row r="165" spans="1:5" x14ac:dyDescent="0.25">
      <c r="A165">
        <v>57</v>
      </c>
      <c r="B165" t="s">
        <v>6</v>
      </c>
      <c r="C165">
        <v>51</v>
      </c>
      <c r="D165">
        <v>44</v>
      </c>
      <c r="E165">
        <v>50</v>
      </c>
    </row>
    <row r="166" spans="1:5" x14ac:dyDescent="0.25">
      <c r="A166">
        <v>119</v>
      </c>
      <c r="B166" t="s">
        <v>6</v>
      </c>
      <c r="C166">
        <v>51</v>
      </c>
      <c r="D166">
        <v>67</v>
      </c>
      <c r="E166">
        <v>43</v>
      </c>
    </row>
    <row r="167" spans="1:5" x14ac:dyDescent="0.25">
      <c r="A167">
        <v>19</v>
      </c>
      <c r="B167" t="s">
        <v>5</v>
      </c>
      <c r="C167">
        <v>52</v>
      </c>
      <c r="D167">
        <v>23</v>
      </c>
      <c r="E167">
        <v>29</v>
      </c>
    </row>
    <row r="168" spans="1:5" x14ac:dyDescent="0.25">
      <c r="A168">
        <v>175</v>
      </c>
      <c r="B168" t="s">
        <v>6</v>
      </c>
      <c r="C168">
        <v>52</v>
      </c>
      <c r="D168">
        <v>88</v>
      </c>
      <c r="E168">
        <v>13</v>
      </c>
    </row>
    <row r="169" spans="1:5" x14ac:dyDescent="0.25">
      <c r="A169">
        <v>33</v>
      </c>
      <c r="B169" t="s">
        <v>5</v>
      </c>
      <c r="C169">
        <v>53</v>
      </c>
      <c r="D169">
        <v>33</v>
      </c>
      <c r="E169">
        <v>4</v>
      </c>
    </row>
    <row r="170" spans="1:5" x14ac:dyDescent="0.25">
      <c r="A170">
        <v>60</v>
      </c>
      <c r="B170" t="s">
        <v>5</v>
      </c>
      <c r="C170">
        <v>53</v>
      </c>
      <c r="D170">
        <v>46</v>
      </c>
      <c r="E170">
        <v>46</v>
      </c>
    </row>
    <row r="171" spans="1:5" x14ac:dyDescent="0.25">
      <c r="A171">
        <v>25</v>
      </c>
      <c r="B171" t="s">
        <v>6</v>
      </c>
      <c r="C171">
        <v>54</v>
      </c>
      <c r="D171">
        <v>28</v>
      </c>
      <c r="E171">
        <v>14</v>
      </c>
    </row>
    <row r="172" spans="1:5" x14ac:dyDescent="0.25">
      <c r="A172">
        <v>64</v>
      </c>
      <c r="B172" t="s">
        <v>6</v>
      </c>
      <c r="C172">
        <v>54</v>
      </c>
      <c r="D172">
        <v>47</v>
      </c>
      <c r="E172">
        <v>59</v>
      </c>
    </row>
    <row r="173" spans="1:5" x14ac:dyDescent="0.25">
      <c r="A173">
        <v>108</v>
      </c>
      <c r="B173" t="s">
        <v>5</v>
      </c>
      <c r="C173">
        <v>54</v>
      </c>
      <c r="D173">
        <v>63</v>
      </c>
      <c r="E173">
        <v>46</v>
      </c>
    </row>
    <row r="174" spans="1:5" x14ac:dyDescent="0.25">
      <c r="A174">
        <v>187</v>
      </c>
      <c r="B174" t="s">
        <v>6</v>
      </c>
      <c r="C174">
        <v>54</v>
      </c>
      <c r="D174">
        <v>101</v>
      </c>
      <c r="E174">
        <v>24</v>
      </c>
    </row>
    <row r="175" spans="1:5" x14ac:dyDescent="0.25">
      <c r="A175">
        <v>87</v>
      </c>
      <c r="B175" t="s">
        <v>6</v>
      </c>
      <c r="C175">
        <v>55</v>
      </c>
      <c r="D175">
        <v>57</v>
      </c>
      <c r="E175">
        <v>58</v>
      </c>
    </row>
    <row r="176" spans="1:5" x14ac:dyDescent="0.25">
      <c r="A176">
        <v>161</v>
      </c>
      <c r="B176" t="s">
        <v>6</v>
      </c>
      <c r="C176">
        <v>56</v>
      </c>
      <c r="D176">
        <v>79</v>
      </c>
      <c r="E176">
        <v>35</v>
      </c>
    </row>
    <row r="177" spans="1:5" x14ac:dyDescent="0.25">
      <c r="A177">
        <v>81</v>
      </c>
      <c r="B177" t="s">
        <v>5</v>
      </c>
      <c r="C177">
        <v>57</v>
      </c>
      <c r="D177">
        <v>54</v>
      </c>
      <c r="E177">
        <v>51</v>
      </c>
    </row>
    <row r="178" spans="1:5" x14ac:dyDescent="0.25">
      <c r="A178">
        <v>141</v>
      </c>
      <c r="B178" t="s">
        <v>6</v>
      </c>
      <c r="C178">
        <v>57</v>
      </c>
      <c r="D178">
        <v>75</v>
      </c>
      <c r="E178">
        <v>5</v>
      </c>
    </row>
    <row r="179" spans="1:5" x14ac:dyDescent="0.25">
      <c r="A179">
        <v>13</v>
      </c>
      <c r="B179" t="s">
        <v>6</v>
      </c>
      <c r="C179">
        <v>58</v>
      </c>
      <c r="D179">
        <v>20</v>
      </c>
      <c r="E179">
        <v>15</v>
      </c>
    </row>
    <row r="180" spans="1:5" x14ac:dyDescent="0.25">
      <c r="A180">
        <v>177</v>
      </c>
      <c r="B180" t="s">
        <v>5</v>
      </c>
      <c r="C180">
        <v>58</v>
      </c>
      <c r="D180">
        <v>88</v>
      </c>
      <c r="E180">
        <v>15</v>
      </c>
    </row>
    <row r="181" spans="1:5" x14ac:dyDescent="0.25">
      <c r="A181">
        <v>54</v>
      </c>
      <c r="B181" t="s">
        <v>5</v>
      </c>
      <c r="C181">
        <v>59</v>
      </c>
      <c r="D181">
        <v>43</v>
      </c>
      <c r="E181">
        <v>60</v>
      </c>
    </row>
    <row r="182" spans="1:5" x14ac:dyDescent="0.25">
      <c r="A182">
        <v>75</v>
      </c>
      <c r="B182" t="s">
        <v>5</v>
      </c>
      <c r="C182">
        <v>59</v>
      </c>
      <c r="D182">
        <v>54</v>
      </c>
      <c r="E182">
        <v>47</v>
      </c>
    </row>
    <row r="183" spans="1:5" x14ac:dyDescent="0.25">
      <c r="A183">
        <v>129</v>
      </c>
      <c r="B183" t="s">
        <v>5</v>
      </c>
      <c r="C183">
        <v>59</v>
      </c>
      <c r="D183">
        <v>71</v>
      </c>
      <c r="E183">
        <v>11</v>
      </c>
    </row>
    <row r="184" spans="1:5" x14ac:dyDescent="0.25">
      <c r="A184">
        <v>179</v>
      </c>
      <c r="B184" t="s">
        <v>5</v>
      </c>
      <c r="C184">
        <v>59</v>
      </c>
      <c r="D184">
        <v>93</v>
      </c>
      <c r="E184">
        <v>14</v>
      </c>
    </row>
    <row r="185" spans="1:5" x14ac:dyDescent="0.25">
      <c r="A185">
        <v>31</v>
      </c>
      <c r="B185" t="s">
        <v>5</v>
      </c>
      <c r="C185">
        <v>60</v>
      </c>
      <c r="D185">
        <v>30</v>
      </c>
      <c r="E185">
        <v>4</v>
      </c>
    </row>
    <row r="186" spans="1:5" x14ac:dyDescent="0.25">
      <c r="A186">
        <v>73</v>
      </c>
      <c r="B186" t="s">
        <v>6</v>
      </c>
      <c r="C186">
        <v>60</v>
      </c>
      <c r="D186">
        <v>50</v>
      </c>
      <c r="E186">
        <v>49</v>
      </c>
    </row>
    <row r="187" spans="1:5" x14ac:dyDescent="0.25">
      <c r="A187">
        <v>74</v>
      </c>
      <c r="B187" t="s">
        <v>6</v>
      </c>
      <c r="C187">
        <v>60</v>
      </c>
      <c r="D187">
        <v>50</v>
      </c>
      <c r="E187">
        <v>56</v>
      </c>
    </row>
    <row r="188" spans="1:5" x14ac:dyDescent="0.25">
      <c r="A188">
        <v>65</v>
      </c>
      <c r="B188" t="s">
        <v>5</v>
      </c>
      <c r="C188">
        <v>63</v>
      </c>
      <c r="D188">
        <v>48</v>
      </c>
      <c r="E188">
        <v>51</v>
      </c>
    </row>
    <row r="189" spans="1:5" x14ac:dyDescent="0.25">
      <c r="A189">
        <v>117</v>
      </c>
      <c r="B189" t="s">
        <v>6</v>
      </c>
      <c r="C189">
        <v>63</v>
      </c>
      <c r="D189">
        <v>65</v>
      </c>
      <c r="E189">
        <v>43</v>
      </c>
    </row>
    <row r="190" spans="1:5" x14ac:dyDescent="0.25">
      <c r="A190">
        <v>9</v>
      </c>
      <c r="B190" t="s">
        <v>5</v>
      </c>
      <c r="C190">
        <v>64</v>
      </c>
      <c r="D190">
        <v>19</v>
      </c>
      <c r="E190">
        <v>3</v>
      </c>
    </row>
    <row r="191" spans="1:5" x14ac:dyDescent="0.25">
      <c r="A191">
        <v>41</v>
      </c>
      <c r="B191" t="s">
        <v>6</v>
      </c>
      <c r="C191">
        <v>65</v>
      </c>
      <c r="D191">
        <v>38</v>
      </c>
      <c r="E191">
        <v>35</v>
      </c>
    </row>
    <row r="192" spans="1:5" x14ac:dyDescent="0.25">
      <c r="A192">
        <v>111</v>
      </c>
      <c r="B192" t="s">
        <v>5</v>
      </c>
      <c r="C192">
        <v>65</v>
      </c>
      <c r="D192">
        <v>63</v>
      </c>
      <c r="E192">
        <v>52</v>
      </c>
    </row>
    <row r="193" spans="1:5" x14ac:dyDescent="0.25">
      <c r="A193">
        <v>107</v>
      </c>
      <c r="B193" t="s">
        <v>6</v>
      </c>
      <c r="C193">
        <v>66</v>
      </c>
      <c r="D193">
        <v>63</v>
      </c>
      <c r="E193">
        <v>50</v>
      </c>
    </row>
    <row r="194" spans="1:5" x14ac:dyDescent="0.25">
      <c r="A194">
        <v>110</v>
      </c>
      <c r="B194" t="s">
        <v>5</v>
      </c>
      <c r="C194">
        <v>66</v>
      </c>
      <c r="D194">
        <v>63</v>
      </c>
      <c r="E194">
        <v>48</v>
      </c>
    </row>
    <row r="195" spans="1:5" x14ac:dyDescent="0.25">
      <c r="A195">
        <v>11</v>
      </c>
      <c r="B195" t="s">
        <v>5</v>
      </c>
      <c r="C195">
        <v>67</v>
      </c>
      <c r="D195">
        <v>19</v>
      </c>
      <c r="E195">
        <v>14</v>
      </c>
    </row>
    <row r="196" spans="1:5" x14ac:dyDescent="0.25">
      <c r="A196">
        <v>63</v>
      </c>
      <c r="B196" t="s">
        <v>6</v>
      </c>
      <c r="C196">
        <v>67</v>
      </c>
      <c r="D196">
        <v>47</v>
      </c>
      <c r="E196">
        <v>52</v>
      </c>
    </row>
    <row r="197" spans="1:5" x14ac:dyDescent="0.25">
      <c r="A197">
        <v>83</v>
      </c>
      <c r="B197" t="s">
        <v>5</v>
      </c>
      <c r="C197">
        <v>67</v>
      </c>
      <c r="D197">
        <v>54</v>
      </c>
      <c r="E197">
        <v>41</v>
      </c>
    </row>
    <row r="198" spans="1:5" x14ac:dyDescent="0.25">
      <c r="A198">
        <v>103</v>
      </c>
      <c r="B198" t="s">
        <v>5</v>
      </c>
      <c r="C198">
        <v>67</v>
      </c>
      <c r="D198">
        <v>62</v>
      </c>
      <c r="E198">
        <v>59</v>
      </c>
    </row>
    <row r="199" spans="1:5" x14ac:dyDescent="0.25">
      <c r="A199">
        <v>68</v>
      </c>
      <c r="B199" t="s">
        <v>6</v>
      </c>
      <c r="C199">
        <v>68</v>
      </c>
      <c r="D199">
        <v>48</v>
      </c>
      <c r="E199">
        <v>48</v>
      </c>
    </row>
    <row r="200" spans="1:5" x14ac:dyDescent="0.25">
      <c r="A200">
        <v>91</v>
      </c>
      <c r="B200" t="s">
        <v>6</v>
      </c>
      <c r="C200">
        <v>68</v>
      </c>
      <c r="D200">
        <v>59</v>
      </c>
      <c r="E200">
        <v>55</v>
      </c>
    </row>
    <row r="201" spans="1:5" x14ac:dyDescent="0.25">
      <c r="A201">
        <v>109</v>
      </c>
      <c r="B201" t="s">
        <v>5</v>
      </c>
      <c r="C201">
        <v>68</v>
      </c>
      <c r="D201">
        <v>63</v>
      </c>
      <c r="E201">
        <v>43</v>
      </c>
    </row>
    <row r="202" spans="1:5" x14ac:dyDescent="0.25">
      <c r="A202">
        <v>58</v>
      </c>
      <c r="B202" t="s">
        <v>5</v>
      </c>
      <c r="C202">
        <v>69</v>
      </c>
      <c r="D202">
        <v>44</v>
      </c>
      <c r="E202">
        <v>46</v>
      </c>
    </row>
    <row r="203" spans="1:5" x14ac:dyDescent="0.25">
      <c r="A203">
        <v>61</v>
      </c>
      <c r="B203" t="s">
        <v>5</v>
      </c>
      <c r="C203">
        <v>70</v>
      </c>
      <c r="D203">
        <v>46</v>
      </c>
      <c r="E203">
        <v>56</v>
      </c>
    </row>
    <row r="204" spans="1:5" x14ac:dyDescent="0.25">
      <c r="A204">
        <v>71</v>
      </c>
      <c r="B204" t="s">
        <v>5</v>
      </c>
      <c r="C204">
        <v>70</v>
      </c>
      <c r="D204">
        <v>49</v>
      </c>
      <c r="E204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4"/>
  <sheetViews>
    <sheetView tabSelected="1" topLeftCell="R1" workbookViewId="0">
      <selection activeCell="S1" sqref="S1"/>
    </sheetView>
  </sheetViews>
  <sheetFormatPr defaultRowHeight="15" x14ac:dyDescent="0.25"/>
  <cols>
    <col min="1" max="1" width="12.5703125" customWidth="1"/>
    <col min="4" max="4" width="18.42578125" bestFit="1" customWidth="1"/>
    <col min="5" max="5" width="21.5703125" bestFit="1" customWidth="1"/>
    <col min="6" max="6" width="21.5703125" customWidth="1"/>
    <col min="7" max="7" width="10.85546875" customWidth="1"/>
    <col min="8" max="8" width="13.140625" bestFit="1" customWidth="1"/>
    <col min="9" max="9" width="15.42578125" bestFit="1" customWidth="1"/>
    <col min="10" max="10" width="14.42578125" bestFit="1" customWidth="1"/>
    <col min="11" max="11" width="14.7109375" bestFit="1" customWidth="1"/>
    <col min="12" max="13" width="13.140625" bestFit="1" customWidth="1"/>
    <col min="14" max="14" width="21.5703125" bestFit="1" customWidth="1"/>
    <col min="16" max="16" width="13.140625" bestFit="1" customWidth="1"/>
    <col min="17" max="17" width="21.5703125" bestFit="1" customWidth="1"/>
    <col min="19" max="19" width="32.140625" customWidth="1"/>
    <col min="20" max="20" width="12.7109375" bestFit="1" customWidth="1"/>
    <col min="21" max="21" width="13.85546875" bestFit="1" customWidth="1"/>
    <col min="23" max="23" width="13.85546875" bestFit="1" customWidth="1"/>
    <col min="24" max="24" width="12" bestFit="1" customWidth="1"/>
    <col min="25" max="25" width="13.85546875" bestFit="1" customWidth="1"/>
  </cols>
  <sheetData>
    <row r="1" spans="1:25" x14ac:dyDescent="0.25">
      <c r="A1" s="1" t="s">
        <v>8</v>
      </c>
      <c r="M1" t="s">
        <v>25</v>
      </c>
      <c r="P1" t="s">
        <v>24</v>
      </c>
      <c r="S1" s="1" t="s">
        <v>50</v>
      </c>
    </row>
    <row r="2" spans="1:25" x14ac:dyDescent="0.25">
      <c r="A2" t="s">
        <v>7</v>
      </c>
      <c r="M2" s="2" t="s">
        <v>20</v>
      </c>
      <c r="N2" t="s">
        <v>21</v>
      </c>
      <c r="P2" s="2" t="s">
        <v>20</v>
      </c>
      <c r="Q2" t="s">
        <v>22</v>
      </c>
      <c r="S2" t="s">
        <v>26</v>
      </c>
    </row>
    <row r="3" spans="1:25" ht="15.75" thickBot="1" x14ac:dyDescent="0.3"/>
    <row r="4" spans="1:25" x14ac:dyDescent="0.25">
      <c r="A4" t="s">
        <v>0</v>
      </c>
      <c r="B4" t="s">
        <v>1</v>
      </c>
      <c r="C4" t="s">
        <v>2</v>
      </c>
      <c r="D4" t="s">
        <v>18</v>
      </c>
      <c r="E4" t="s">
        <v>16</v>
      </c>
      <c r="F4" t="s">
        <v>20</v>
      </c>
      <c r="H4" s="5" t="s">
        <v>11</v>
      </c>
      <c r="I4" t="s">
        <v>17</v>
      </c>
      <c r="J4" t="s">
        <v>16</v>
      </c>
      <c r="K4" t="s">
        <v>18</v>
      </c>
      <c r="M4" s="2" t="s">
        <v>9</v>
      </c>
      <c r="N4" t="s">
        <v>38</v>
      </c>
      <c r="P4" s="2" t="s">
        <v>9</v>
      </c>
      <c r="Q4" t="s">
        <v>37</v>
      </c>
      <c r="S4" s="9"/>
      <c r="T4" s="9" t="s">
        <v>39</v>
      </c>
      <c r="U4" s="9" t="s">
        <v>40</v>
      </c>
      <c r="W4" s="9"/>
      <c r="X4" s="9" t="s">
        <v>39</v>
      </c>
      <c r="Y4" s="9" t="s">
        <v>40</v>
      </c>
    </row>
    <row r="5" spans="1:25" x14ac:dyDescent="0.25">
      <c r="A5">
        <v>34</v>
      </c>
      <c r="B5" t="s">
        <v>5</v>
      </c>
      <c r="C5">
        <v>18</v>
      </c>
      <c r="D5">
        <v>33</v>
      </c>
      <c r="E5">
        <v>92</v>
      </c>
      <c r="F5" t="s">
        <v>21</v>
      </c>
      <c r="H5" t="s">
        <v>12</v>
      </c>
      <c r="I5">
        <f>COUNTIFS(C5:C204,"&gt;=18",C5:C204,"&lt;=30")</f>
        <v>62</v>
      </c>
      <c r="J5">
        <f>SUMIFS($E$5:$E$204,$C$5:$C$204,"&gt;=18",$C$5:$C$204,"&lt;=30")</f>
        <v>3784</v>
      </c>
      <c r="K5" s="6">
        <f>SUMIFS($D$5:$D$204,$C$5:$C$204,"&gt;=18",$C$5:$C$204,"&lt;=30")</f>
        <v>3423</v>
      </c>
      <c r="M5" s="3">
        <v>1</v>
      </c>
      <c r="N5" s="4">
        <v>39</v>
      </c>
      <c r="P5" s="3">
        <v>3</v>
      </c>
      <c r="Q5" s="4">
        <v>6</v>
      </c>
      <c r="S5" s="7" t="s">
        <v>27</v>
      </c>
      <c r="T5" s="7">
        <v>48.511363636363633</v>
      </c>
      <c r="U5" s="7">
        <v>51.526785714285715</v>
      </c>
      <c r="W5" s="7" t="s">
        <v>27</v>
      </c>
      <c r="X5" s="7">
        <v>48.511363636363633</v>
      </c>
      <c r="Y5" s="7">
        <v>51.526785714285715</v>
      </c>
    </row>
    <row r="6" spans="1:25" x14ac:dyDescent="0.25">
      <c r="A6">
        <v>66</v>
      </c>
      <c r="B6" t="s">
        <v>5</v>
      </c>
      <c r="C6">
        <v>18</v>
      </c>
      <c r="D6">
        <v>48</v>
      </c>
      <c r="E6">
        <v>59</v>
      </c>
      <c r="F6" t="s">
        <v>21</v>
      </c>
      <c r="H6" t="s">
        <v>13</v>
      </c>
      <c r="I6">
        <f>COUNTIFS(C5:C204,"&gt;=31",C5:C204,"&lt;=40")</f>
        <v>60</v>
      </c>
      <c r="J6">
        <f>SUMIFS($E$5:$E$204,$C$5:$C$204,"&gt;30",$C$5:$C$204,"&lt;=40")</f>
        <v>3450</v>
      </c>
      <c r="K6" s="6">
        <f>SUMIFS($D$5:$D$204,$C$5:$C$204,"&gt;=31",$C$5:$C$204,"&lt;=40")</f>
        <v>4118</v>
      </c>
      <c r="M6" s="3">
        <v>2</v>
      </c>
      <c r="N6" s="4">
        <v>81</v>
      </c>
      <c r="P6" s="3">
        <v>4</v>
      </c>
      <c r="Q6" s="4">
        <v>77</v>
      </c>
      <c r="S6" s="7" t="s">
        <v>28</v>
      </c>
      <c r="T6" s="7">
        <v>778.22975444096141</v>
      </c>
      <c r="U6" s="7">
        <v>581.53080759330771</v>
      </c>
      <c r="W6" s="7" t="s">
        <v>28</v>
      </c>
      <c r="X6" s="7">
        <v>778.22975444096141</v>
      </c>
      <c r="Y6" s="7">
        <v>581.53080759330771</v>
      </c>
    </row>
    <row r="7" spans="1:25" x14ac:dyDescent="0.25">
      <c r="A7">
        <v>92</v>
      </c>
      <c r="B7" t="s">
        <v>5</v>
      </c>
      <c r="C7">
        <v>18</v>
      </c>
      <c r="D7">
        <v>59</v>
      </c>
      <c r="E7">
        <v>41</v>
      </c>
      <c r="F7" t="s">
        <v>21</v>
      </c>
      <c r="H7" t="s">
        <v>14</v>
      </c>
      <c r="I7">
        <f>COUNTIFS(C5:C204,"&gt;=41",C5:C204,"&lt;=50")</f>
        <v>38</v>
      </c>
      <c r="J7">
        <f>SUMIFS($E$5:$E$204,$C$5:$C$204,"&gt;40",$C$5:$C$204,"&lt;=50")</f>
        <v>1307</v>
      </c>
      <c r="K7" s="6">
        <f>SUMIFS($D$5:$D$204,$C$5:$C$204,"&gt;=41",$C$5:$C$204,"&lt;=50")</f>
        <v>2417</v>
      </c>
      <c r="M7" s="3">
        <v>9</v>
      </c>
      <c r="N7" s="4">
        <v>3</v>
      </c>
      <c r="P7" s="3">
        <v>5</v>
      </c>
      <c r="Q7" s="4">
        <v>40</v>
      </c>
      <c r="S7" s="7" t="s">
        <v>29</v>
      </c>
      <c r="T7" s="7">
        <v>88</v>
      </c>
      <c r="U7" s="7">
        <v>112</v>
      </c>
      <c r="W7" s="7" t="s">
        <v>29</v>
      </c>
      <c r="X7" s="7">
        <v>88</v>
      </c>
      <c r="Y7" s="7">
        <v>112</v>
      </c>
    </row>
    <row r="8" spans="1:25" x14ac:dyDescent="0.25">
      <c r="A8">
        <v>115</v>
      </c>
      <c r="B8" t="s">
        <v>6</v>
      </c>
      <c r="C8">
        <v>18</v>
      </c>
      <c r="D8">
        <v>65</v>
      </c>
      <c r="E8">
        <v>48</v>
      </c>
      <c r="F8" t="s">
        <v>22</v>
      </c>
      <c r="H8" t="s">
        <v>15</v>
      </c>
      <c r="I8">
        <f>COUNTIF(C5:C204,"&gt;=50")</f>
        <v>45</v>
      </c>
      <c r="J8">
        <f>SUMIF($C$5:$C$204,"&gt;50",E5:E204)</f>
        <v>1499</v>
      </c>
      <c r="K8" s="6">
        <f>SUMIF($C$5:$C$204,"&gt;50",D5:D204)</f>
        <v>2154</v>
      </c>
      <c r="M8" s="3">
        <v>11</v>
      </c>
      <c r="N8" s="4">
        <v>14</v>
      </c>
      <c r="P8" s="3">
        <v>6</v>
      </c>
      <c r="Q8" s="4">
        <v>76</v>
      </c>
      <c r="S8" s="7" t="s">
        <v>30</v>
      </c>
      <c r="T8" s="7">
        <v>0</v>
      </c>
      <c r="U8" s="7"/>
      <c r="W8" t="s">
        <v>47</v>
      </c>
      <c r="X8">
        <f>SQRT(X6)/SQRT(X7)</f>
        <v>2.9738056319855719</v>
      </c>
      <c r="Y8">
        <f>SQRT(Y6)/SQRT(Y7)</f>
        <v>2.278648580521287</v>
      </c>
    </row>
    <row r="9" spans="1:25" x14ac:dyDescent="0.25">
      <c r="A9">
        <v>1</v>
      </c>
      <c r="B9" t="s">
        <v>5</v>
      </c>
      <c r="C9">
        <v>19</v>
      </c>
      <c r="D9">
        <v>15</v>
      </c>
      <c r="E9">
        <v>39</v>
      </c>
      <c r="F9" t="s">
        <v>21</v>
      </c>
      <c r="M9" s="3">
        <v>15</v>
      </c>
      <c r="N9" s="4">
        <v>13</v>
      </c>
      <c r="P9" s="3">
        <v>7</v>
      </c>
      <c r="Q9" s="4">
        <v>6</v>
      </c>
      <c r="S9" s="7" t="s">
        <v>31</v>
      </c>
      <c r="T9" s="7">
        <v>173</v>
      </c>
      <c r="U9" s="7"/>
      <c r="W9" t="s">
        <v>46</v>
      </c>
      <c r="X9">
        <f>X8*T14</f>
        <v>5.8696123178878103</v>
      </c>
      <c r="Y9">
        <f>Y8*T14</f>
        <v>4.4975312550723601</v>
      </c>
    </row>
    <row r="10" spans="1:25" x14ac:dyDescent="0.25">
      <c r="A10">
        <v>62</v>
      </c>
      <c r="B10" t="s">
        <v>5</v>
      </c>
      <c r="C10">
        <v>19</v>
      </c>
      <c r="D10">
        <v>46</v>
      </c>
      <c r="E10">
        <v>55</v>
      </c>
      <c r="F10" t="s">
        <v>21</v>
      </c>
      <c r="M10" s="3">
        <v>16</v>
      </c>
      <c r="N10" s="4">
        <v>79</v>
      </c>
      <c r="P10" s="3">
        <v>8</v>
      </c>
      <c r="Q10" s="4">
        <v>94</v>
      </c>
      <c r="S10" s="7" t="s">
        <v>32</v>
      </c>
      <c r="T10" s="7">
        <v>-0.80487818096845243</v>
      </c>
      <c r="U10" s="7"/>
      <c r="W10" t="s">
        <v>45</v>
      </c>
      <c r="X10">
        <f>X8*T14</f>
        <v>5.8696123178878103</v>
      </c>
      <c r="Y10">
        <f>Y8*T14</f>
        <v>4.4975312550723601</v>
      </c>
    </row>
    <row r="11" spans="1:25" x14ac:dyDescent="0.25">
      <c r="A11">
        <v>69</v>
      </c>
      <c r="B11" t="s">
        <v>5</v>
      </c>
      <c r="C11">
        <v>19</v>
      </c>
      <c r="D11">
        <v>48</v>
      </c>
      <c r="E11">
        <v>59</v>
      </c>
      <c r="F11" t="s">
        <v>21</v>
      </c>
      <c r="M11" s="3">
        <v>18</v>
      </c>
      <c r="N11" s="4">
        <v>66</v>
      </c>
      <c r="P11" s="3">
        <v>10</v>
      </c>
      <c r="Q11" s="4">
        <v>72</v>
      </c>
      <c r="S11" s="7" t="s">
        <v>33</v>
      </c>
      <c r="T11" s="7">
        <v>0.21099737256538109</v>
      </c>
      <c r="U11" s="7"/>
    </row>
    <row r="12" spans="1:25" ht="15.75" thickBot="1" x14ac:dyDescent="0.3">
      <c r="A12">
        <v>112</v>
      </c>
      <c r="B12" t="s">
        <v>6</v>
      </c>
      <c r="C12">
        <v>19</v>
      </c>
      <c r="D12">
        <v>63</v>
      </c>
      <c r="E12">
        <v>54</v>
      </c>
      <c r="F12" t="s">
        <v>22</v>
      </c>
      <c r="H12" s="2" t="s">
        <v>9</v>
      </c>
      <c r="I12" t="s">
        <v>19</v>
      </c>
      <c r="J12" t="s">
        <v>18</v>
      </c>
      <c r="K12" t="s">
        <v>16</v>
      </c>
      <c r="M12" s="3">
        <v>19</v>
      </c>
      <c r="N12" s="4">
        <v>29</v>
      </c>
      <c r="P12" s="3">
        <v>12</v>
      </c>
      <c r="Q12" s="4">
        <v>99</v>
      </c>
      <c r="S12" s="7" t="s">
        <v>34</v>
      </c>
      <c r="T12" s="7">
        <v>1.6537091838406781</v>
      </c>
      <c r="U12" s="7"/>
    </row>
    <row r="13" spans="1:25" x14ac:dyDescent="0.25">
      <c r="A13">
        <v>114</v>
      </c>
      <c r="B13" t="s">
        <v>5</v>
      </c>
      <c r="C13">
        <v>19</v>
      </c>
      <c r="D13">
        <v>64</v>
      </c>
      <c r="E13">
        <v>46</v>
      </c>
      <c r="F13" t="s">
        <v>21</v>
      </c>
      <c r="H13" s="3" t="s">
        <v>6</v>
      </c>
      <c r="I13" s="4">
        <v>112</v>
      </c>
      <c r="J13" s="4">
        <v>6636</v>
      </c>
      <c r="K13" s="4">
        <v>5771</v>
      </c>
      <c r="M13" s="3">
        <v>21</v>
      </c>
      <c r="N13" s="4">
        <v>35</v>
      </c>
      <c r="P13" s="3">
        <v>13</v>
      </c>
      <c r="Q13" s="4">
        <v>15</v>
      </c>
      <c r="S13" s="7" t="s">
        <v>35</v>
      </c>
      <c r="T13" s="7">
        <v>0.42199474513076218</v>
      </c>
      <c r="U13" s="7"/>
      <c r="W13" s="9"/>
      <c r="X13" s="9" t="s">
        <v>39</v>
      </c>
      <c r="Y13" s="9" t="s">
        <v>40</v>
      </c>
    </row>
    <row r="14" spans="1:25" ht="15.75" thickBot="1" x14ac:dyDescent="0.3">
      <c r="A14">
        <v>116</v>
      </c>
      <c r="B14" t="s">
        <v>6</v>
      </c>
      <c r="C14">
        <v>19</v>
      </c>
      <c r="D14">
        <v>65</v>
      </c>
      <c r="E14">
        <v>50</v>
      </c>
      <c r="F14" t="s">
        <v>22</v>
      </c>
      <c r="H14" s="3" t="s">
        <v>5</v>
      </c>
      <c r="I14" s="4">
        <v>88</v>
      </c>
      <c r="J14" s="4">
        <v>5476</v>
      </c>
      <c r="K14" s="4">
        <v>4269</v>
      </c>
      <c r="M14" s="3">
        <v>22</v>
      </c>
      <c r="N14" s="4">
        <v>73</v>
      </c>
      <c r="P14" s="3">
        <v>14</v>
      </c>
      <c r="Q14" s="4">
        <v>77</v>
      </c>
      <c r="S14" s="8" t="s">
        <v>36</v>
      </c>
      <c r="T14" s="8">
        <v>1.973771336887524</v>
      </c>
      <c r="U14" s="8"/>
      <c r="W14" t="s">
        <v>27</v>
      </c>
      <c r="X14">
        <v>48.511363636363633</v>
      </c>
      <c r="Y14">
        <v>51.526785714285715</v>
      </c>
    </row>
    <row r="15" spans="1:25" x14ac:dyDescent="0.25">
      <c r="A15">
        <v>139</v>
      </c>
      <c r="B15" t="s">
        <v>5</v>
      </c>
      <c r="C15">
        <v>19</v>
      </c>
      <c r="D15">
        <v>74</v>
      </c>
      <c r="E15">
        <v>10</v>
      </c>
      <c r="F15" t="s">
        <v>21</v>
      </c>
      <c r="H15" s="3" t="s">
        <v>10</v>
      </c>
      <c r="I15" s="4">
        <v>200</v>
      </c>
      <c r="J15" s="4">
        <v>12112</v>
      </c>
      <c r="K15" s="4">
        <v>10040</v>
      </c>
      <c r="M15" s="3">
        <v>24</v>
      </c>
      <c r="N15" s="4">
        <v>73</v>
      </c>
      <c r="P15" s="3">
        <v>17</v>
      </c>
      <c r="Q15" s="4">
        <v>35</v>
      </c>
      <c r="W15" t="s">
        <v>28</v>
      </c>
      <c r="X15">
        <v>778.22975444096141</v>
      </c>
      <c r="Y15">
        <v>581.53080759330771</v>
      </c>
    </row>
    <row r="16" spans="1:25" x14ac:dyDescent="0.25">
      <c r="A16">
        <v>163</v>
      </c>
      <c r="B16" t="s">
        <v>5</v>
      </c>
      <c r="C16">
        <v>19</v>
      </c>
      <c r="D16">
        <v>81</v>
      </c>
      <c r="E16">
        <v>5</v>
      </c>
      <c r="F16" t="s">
        <v>21</v>
      </c>
      <c r="M16" s="3">
        <v>26</v>
      </c>
      <c r="N16" s="4">
        <v>82</v>
      </c>
      <c r="P16" s="3">
        <v>20</v>
      </c>
      <c r="Q16" s="4">
        <v>98</v>
      </c>
      <c r="S16" t="s">
        <v>41</v>
      </c>
      <c r="T16">
        <f>T7+U7</f>
        <v>200</v>
      </c>
      <c r="W16" t="s">
        <v>29</v>
      </c>
      <c r="X16">
        <v>88</v>
      </c>
      <c r="Y16">
        <v>112</v>
      </c>
    </row>
    <row r="17" spans="1:25" x14ac:dyDescent="0.25">
      <c r="A17">
        <v>3</v>
      </c>
      <c r="B17" t="s">
        <v>6</v>
      </c>
      <c r="C17">
        <v>20</v>
      </c>
      <c r="D17">
        <v>16</v>
      </c>
      <c r="E17">
        <v>6</v>
      </c>
      <c r="F17" t="s">
        <v>22</v>
      </c>
      <c r="M17" s="3">
        <v>28</v>
      </c>
      <c r="N17" s="4">
        <v>61</v>
      </c>
      <c r="P17" s="3">
        <v>23</v>
      </c>
      <c r="Q17" s="4">
        <v>5</v>
      </c>
      <c r="S17" t="s">
        <v>42</v>
      </c>
      <c r="T17">
        <f>T5-U5</f>
        <v>-3.0154220779220822</v>
      </c>
      <c r="W17" t="s">
        <v>47</v>
      </c>
      <c r="X17">
        <v>2.9738056319855719</v>
      </c>
      <c r="Y17">
        <v>2.278648580521287</v>
      </c>
    </row>
    <row r="18" spans="1:25" x14ac:dyDescent="0.25">
      <c r="A18">
        <v>18</v>
      </c>
      <c r="B18" t="s">
        <v>5</v>
      </c>
      <c r="C18">
        <v>20</v>
      </c>
      <c r="D18">
        <v>21</v>
      </c>
      <c r="E18">
        <v>66</v>
      </c>
      <c r="F18" t="s">
        <v>21</v>
      </c>
      <c r="M18" s="3">
        <v>31</v>
      </c>
      <c r="N18" s="4">
        <v>4</v>
      </c>
      <c r="P18" s="3">
        <v>25</v>
      </c>
      <c r="Q18" s="4">
        <v>14</v>
      </c>
      <c r="S18" s="10" t="s">
        <v>43</v>
      </c>
      <c r="T18">
        <f>SQRT((T6/T7)+(U6/U7))</f>
        <v>3.7464328754617751</v>
      </c>
      <c r="W18" t="s">
        <v>46</v>
      </c>
      <c r="X18">
        <v>5.8696123178878103</v>
      </c>
      <c r="Y18">
        <v>4.4975312550723601</v>
      </c>
    </row>
    <row r="19" spans="1:25" x14ac:dyDescent="0.25">
      <c r="A19">
        <v>40</v>
      </c>
      <c r="B19" t="s">
        <v>6</v>
      </c>
      <c r="C19">
        <v>20</v>
      </c>
      <c r="D19">
        <v>37</v>
      </c>
      <c r="E19">
        <v>75</v>
      </c>
      <c r="F19" t="s">
        <v>22</v>
      </c>
      <c r="H19" s="5" t="s">
        <v>11</v>
      </c>
      <c r="I19" t="s">
        <v>16</v>
      </c>
      <c r="M19" s="3">
        <v>33</v>
      </c>
      <c r="N19" s="4">
        <v>4</v>
      </c>
      <c r="P19" s="3">
        <v>27</v>
      </c>
      <c r="Q19" s="4">
        <v>32</v>
      </c>
      <c r="W19" t="s">
        <v>45</v>
      </c>
      <c r="X19">
        <v>5.8696123178878103</v>
      </c>
      <c r="Y19">
        <v>4.4975312550723601</v>
      </c>
    </row>
    <row r="20" spans="1:25" x14ac:dyDescent="0.25">
      <c r="A20">
        <v>100</v>
      </c>
      <c r="B20" t="s">
        <v>5</v>
      </c>
      <c r="C20">
        <v>20</v>
      </c>
      <c r="D20">
        <v>61</v>
      </c>
      <c r="E20">
        <v>49</v>
      </c>
      <c r="F20" t="s">
        <v>21</v>
      </c>
      <c r="H20" t="s">
        <v>12</v>
      </c>
      <c r="I20">
        <f>SUMIFS($E$5:$E$204,$C$5:$C$204,"&gt;=18",$C$5:$C$204,"&lt;=30")</f>
        <v>3784</v>
      </c>
      <c r="M20" s="3">
        <v>34</v>
      </c>
      <c r="N20" s="4">
        <v>92</v>
      </c>
      <c r="P20" s="3">
        <v>29</v>
      </c>
      <c r="Q20" s="4">
        <v>31</v>
      </c>
      <c r="S20" s="10" t="s">
        <v>44</v>
      </c>
      <c r="T20">
        <f>T18*T14</f>
        <v>7.3946018251595582</v>
      </c>
    </row>
    <row r="21" spans="1:25" x14ac:dyDescent="0.25">
      <c r="A21">
        <v>135</v>
      </c>
      <c r="B21" t="s">
        <v>5</v>
      </c>
      <c r="C21">
        <v>20</v>
      </c>
      <c r="D21">
        <v>73</v>
      </c>
      <c r="E21">
        <v>5</v>
      </c>
      <c r="F21" t="s">
        <v>21</v>
      </c>
      <c r="H21" t="s">
        <v>13</v>
      </c>
      <c r="I21">
        <f>SUMIFS($E$5:$E$204,$C$5:$C$204,"&gt;30",$C$5:$C$204,"&lt;=40")</f>
        <v>3450</v>
      </c>
      <c r="M21" s="3">
        <v>42</v>
      </c>
      <c r="N21" s="4">
        <v>92</v>
      </c>
      <c r="P21" s="3">
        <v>30</v>
      </c>
      <c r="Q21" s="4">
        <v>87</v>
      </c>
      <c r="S21" t="s">
        <v>45</v>
      </c>
      <c r="T21">
        <f>T17-T20</f>
        <v>-10.41002390308164</v>
      </c>
    </row>
    <row r="22" spans="1:25" x14ac:dyDescent="0.25">
      <c r="A22">
        <v>2</v>
      </c>
      <c r="B22" t="s">
        <v>5</v>
      </c>
      <c r="C22">
        <v>21</v>
      </c>
      <c r="D22">
        <v>15</v>
      </c>
      <c r="E22">
        <v>81</v>
      </c>
      <c r="F22" t="s">
        <v>21</v>
      </c>
      <c r="H22" t="s">
        <v>14</v>
      </c>
      <c r="I22">
        <f>SUMIFS($E$5:$E$204,$C$5:$C$204,"&gt;40",$C$5:$C$204,"&lt;=50")</f>
        <v>1307</v>
      </c>
      <c r="M22" s="3">
        <v>43</v>
      </c>
      <c r="N22" s="4">
        <v>36</v>
      </c>
      <c r="P22" s="3">
        <v>32</v>
      </c>
      <c r="Q22" s="4">
        <v>73</v>
      </c>
      <c r="S22" t="s">
        <v>46</v>
      </c>
      <c r="T22">
        <f>T17+T20</f>
        <v>4.3791797472374761</v>
      </c>
    </row>
    <row r="23" spans="1:25" x14ac:dyDescent="0.25">
      <c r="A23">
        <v>32</v>
      </c>
      <c r="B23" t="s">
        <v>6</v>
      </c>
      <c r="C23">
        <v>21</v>
      </c>
      <c r="D23">
        <v>30</v>
      </c>
      <c r="E23">
        <v>73</v>
      </c>
      <c r="F23" t="s">
        <v>22</v>
      </c>
      <c r="H23" t="s">
        <v>15</v>
      </c>
      <c r="I23">
        <f>SUMIF($C$5:$C$204,"&gt;50",D20:D219)</f>
        <v>1329</v>
      </c>
      <c r="M23" s="3">
        <v>52</v>
      </c>
      <c r="N23" s="4">
        <v>60</v>
      </c>
      <c r="P23" s="3">
        <v>35</v>
      </c>
      <c r="Q23" s="4">
        <v>14</v>
      </c>
    </row>
    <row r="24" spans="1:25" x14ac:dyDescent="0.25">
      <c r="A24">
        <v>36</v>
      </c>
      <c r="B24" t="s">
        <v>6</v>
      </c>
      <c r="C24">
        <v>21</v>
      </c>
      <c r="D24">
        <v>33</v>
      </c>
      <c r="E24">
        <v>81</v>
      </c>
      <c r="F24" t="s">
        <v>22</v>
      </c>
      <c r="M24" s="3">
        <v>54</v>
      </c>
      <c r="N24" s="4">
        <v>60</v>
      </c>
      <c r="P24" s="3">
        <v>36</v>
      </c>
      <c r="Q24" s="4">
        <v>81</v>
      </c>
    </row>
    <row r="25" spans="1:25" x14ac:dyDescent="0.25">
      <c r="A25">
        <v>85</v>
      </c>
      <c r="B25" t="s">
        <v>6</v>
      </c>
      <c r="C25">
        <v>21</v>
      </c>
      <c r="D25">
        <v>54</v>
      </c>
      <c r="E25">
        <v>57</v>
      </c>
      <c r="F25" t="s">
        <v>22</v>
      </c>
      <c r="M25" s="3">
        <v>56</v>
      </c>
      <c r="N25" s="4">
        <v>41</v>
      </c>
      <c r="P25" s="3">
        <v>37</v>
      </c>
      <c r="Q25" s="4">
        <v>17</v>
      </c>
      <c r="S25" s="1" t="s">
        <v>51</v>
      </c>
    </row>
    <row r="26" spans="1:25" x14ac:dyDescent="0.25">
      <c r="A26">
        <v>106</v>
      </c>
      <c r="B26" t="s">
        <v>6</v>
      </c>
      <c r="C26">
        <v>21</v>
      </c>
      <c r="D26">
        <v>62</v>
      </c>
      <c r="E26">
        <v>42</v>
      </c>
      <c r="F26" t="s">
        <v>22</v>
      </c>
      <c r="M26" s="3">
        <v>58</v>
      </c>
      <c r="N26" s="4">
        <v>46</v>
      </c>
      <c r="P26" s="3">
        <v>38</v>
      </c>
      <c r="Q26" s="4">
        <v>73</v>
      </c>
      <c r="S26" t="s">
        <v>26</v>
      </c>
    </row>
    <row r="27" spans="1:25" ht="15.75" thickBot="1" x14ac:dyDescent="0.3">
      <c r="A27">
        <v>6</v>
      </c>
      <c r="B27" t="s">
        <v>6</v>
      </c>
      <c r="C27">
        <v>22</v>
      </c>
      <c r="D27">
        <v>17</v>
      </c>
      <c r="E27">
        <v>76</v>
      </c>
      <c r="F27" t="s">
        <v>22</v>
      </c>
      <c r="H27" s="5"/>
      <c r="M27" s="3">
        <v>60</v>
      </c>
      <c r="N27" s="4">
        <v>46</v>
      </c>
      <c r="P27" s="3">
        <v>39</v>
      </c>
      <c r="Q27" s="4">
        <v>26</v>
      </c>
    </row>
    <row r="28" spans="1:25" x14ac:dyDescent="0.25">
      <c r="A28">
        <v>16</v>
      </c>
      <c r="B28" t="s">
        <v>5</v>
      </c>
      <c r="C28">
        <v>22</v>
      </c>
      <c r="D28">
        <v>20</v>
      </c>
      <c r="E28">
        <v>79</v>
      </c>
      <c r="F28" t="s">
        <v>21</v>
      </c>
      <c r="M28" s="3">
        <v>61</v>
      </c>
      <c r="N28" s="4">
        <v>56</v>
      </c>
      <c r="P28" s="3">
        <v>40</v>
      </c>
      <c r="Q28" s="4">
        <v>75</v>
      </c>
      <c r="S28" s="9"/>
      <c r="T28" s="9" t="s">
        <v>48</v>
      </c>
      <c r="U28" s="9" t="s">
        <v>49</v>
      </c>
      <c r="W28" s="9"/>
      <c r="X28" s="9" t="s">
        <v>48</v>
      </c>
      <c r="Y28" s="9" t="s">
        <v>49</v>
      </c>
    </row>
    <row r="29" spans="1:25" x14ac:dyDescent="0.25">
      <c r="A29">
        <v>88</v>
      </c>
      <c r="B29" t="s">
        <v>6</v>
      </c>
      <c r="C29">
        <v>22</v>
      </c>
      <c r="D29">
        <v>57</v>
      </c>
      <c r="E29">
        <v>55</v>
      </c>
      <c r="F29" t="s">
        <v>22</v>
      </c>
      <c r="M29" s="3">
        <v>62</v>
      </c>
      <c r="N29" s="4">
        <v>55</v>
      </c>
      <c r="P29" s="3">
        <v>41</v>
      </c>
      <c r="Q29" s="4">
        <v>35</v>
      </c>
      <c r="S29" s="7" t="s">
        <v>27</v>
      </c>
      <c r="T29" s="7">
        <v>60.56</v>
      </c>
      <c r="U29" s="7">
        <v>50.2</v>
      </c>
      <c r="W29" s="7" t="s">
        <v>27</v>
      </c>
      <c r="X29" s="7">
        <v>60.56</v>
      </c>
      <c r="Y29" s="7">
        <v>50.2</v>
      </c>
    </row>
    <row r="30" spans="1:25" x14ac:dyDescent="0.25">
      <c r="A30">
        <v>4</v>
      </c>
      <c r="B30" t="s">
        <v>6</v>
      </c>
      <c r="C30">
        <v>23</v>
      </c>
      <c r="D30">
        <v>16</v>
      </c>
      <c r="E30">
        <v>77</v>
      </c>
      <c r="F30" t="s">
        <v>22</v>
      </c>
      <c r="M30" s="3">
        <v>65</v>
      </c>
      <c r="N30" s="4">
        <v>51</v>
      </c>
      <c r="P30" s="3">
        <v>44</v>
      </c>
      <c r="Q30" s="4">
        <v>61</v>
      </c>
      <c r="S30" s="7" t="s">
        <v>28</v>
      </c>
      <c r="T30" s="7">
        <v>689.83557788944734</v>
      </c>
      <c r="U30" s="7">
        <v>666.8542713567839</v>
      </c>
      <c r="W30" s="7" t="s">
        <v>28</v>
      </c>
      <c r="X30" s="7">
        <v>689.83557788944734</v>
      </c>
      <c r="Y30" s="7">
        <v>666.8542713567839</v>
      </c>
    </row>
    <row r="31" spans="1:25" x14ac:dyDescent="0.25">
      <c r="A31">
        <v>8</v>
      </c>
      <c r="B31" t="s">
        <v>6</v>
      </c>
      <c r="C31">
        <v>23</v>
      </c>
      <c r="D31">
        <v>18</v>
      </c>
      <c r="E31">
        <v>94</v>
      </c>
      <c r="F31" t="s">
        <v>22</v>
      </c>
      <c r="M31" s="3">
        <v>66</v>
      </c>
      <c r="N31" s="4">
        <v>59</v>
      </c>
      <c r="P31" s="3">
        <v>45</v>
      </c>
      <c r="Q31" s="4">
        <v>28</v>
      </c>
      <c r="S31" s="7" t="s">
        <v>29</v>
      </c>
      <c r="T31" s="7">
        <v>200</v>
      </c>
      <c r="U31" s="7">
        <v>200</v>
      </c>
      <c r="W31" s="7" t="s">
        <v>29</v>
      </c>
      <c r="X31" s="7">
        <v>200</v>
      </c>
      <c r="Y31" s="7">
        <v>200</v>
      </c>
    </row>
    <row r="32" spans="1:25" x14ac:dyDescent="0.25">
      <c r="A32">
        <v>30</v>
      </c>
      <c r="B32" t="s">
        <v>6</v>
      </c>
      <c r="C32">
        <v>23</v>
      </c>
      <c r="D32">
        <v>29</v>
      </c>
      <c r="E32">
        <v>87</v>
      </c>
      <c r="F32" t="s">
        <v>22</v>
      </c>
      <c r="M32" s="3">
        <v>69</v>
      </c>
      <c r="N32" s="4">
        <v>59</v>
      </c>
      <c r="P32" s="3">
        <v>46</v>
      </c>
      <c r="Q32" s="4">
        <v>65</v>
      </c>
      <c r="S32" s="7" t="s">
        <v>30</v>
      </c>
      <c r="T32" s="7">
        <v>0</v>
      </c>
      <c r="U32" s="7"/>
      <c r="W32" t="s">
        <v>47</v>
      </c>
      <c r="X32">
        <f>SQRT(X30)/SQRT(X31)</f>
        <v>1.8571962441937138</v>
      </c>
      <c r="Y32">
        <f>SQRT(Y30)/SQRT(Y31)</f>
        <v>1.8259987285822297</v>
      </c>
    </row>
    <row r="33" spans="1:25" x14ac:dyDescent="0.25">
      <c r="A33">
        <v>79</v>
      </c>
      <c r="B33" t="s">
        <v>6</v>
      </c>
      <c r="C33">
        <v>23</v>
      </c>
      <c r="D33">
        <v>54</v>
      </c>
      <c r="E33">
        <v>52</v>
      </c>
      <c r="F33" t="s">
        <v>22</v>
      </c>
      <c r="M33" s="3">
        <v>71</v>
      </c>
      <c r="N33" s="4">
        <v>55</v>
      </c>
      <c r="P33" s="3">
        <v>47</v>
      </c>
      <c r="Q33" s="4">
        <v>55</v>
      </c>
      <c r="S33" s="7" t="s">
        <v>31</v>
      </c>
      <c r="T33" s="7">
        <v>398</v>
      </c>
      <c r="U33" s="7"/>
      <c r="W33" t="s">
        <v>46</v>
      </c>
      <c r="X33">
        <f>X32*T38</f>
        <v>3.6511407003901657</v>
      </c>
      <c r="Y33">
        <f>Y32*T38</f>
        <v>3.5898081840466394</v>
      </c>
    </row>
    <row r="34" spans="1:25" x14ac:dyDescent="0.25">
      <c r="A34">
        <v>101</v>
      </c>
      <c r="B34" t="s">
        <v>6</v>
      </c>
      <c r="C34">
        <v>23</v>
      </c>
      <c r="D34">
        <v>62</v>
      </c>
      <c r="E34">
        <v>41</v>
      </c>
      <c r="F34" t="s">
        <v>22</v>
      </c>
      <c r="M34" s="3">
        <v>75</v>
      </c>
      <c r="N34" s="4">
        <v>47</v>
      </c>
      <c r="P34" s="3">
        <v>48</v>
      </c>
      <c r="Q34" s="4">
        <v>47</v>
      </c>
      <c r="S34" s="7" t="s">
        <v>32</v>
      </c>
      <c r="T34" s="7">
        <v>3.9777223489261595</v>
      </c>
      <c r="U34" s="7"/>
      <c r="W34" t="s">
        <v>45</v>
      </c>
      <c r="X34">
        <f>X32*T38</f>
        <v>3.6511407003901657</v>
      </c>
      <c r="Y34">
        <f>Y32*T38</f>
        <v>3.5898081840466394</v>
      </c>
    </row>
    <row r="35" spans="1:25" x14ac:dyDescent="0.25">
      <c r="A35">
        <v>125</v>
      </c>
      <c r="B35" t="s">
        <v>6</v>
      </c>
      <c r="C35">
        <v>23</v>
      </c>
      <c r="D35">
        <v>70</v>
      </c>
      <c r="E35">
        <v>29</v>
      </c>
      <c r="F35" t="s">
        <v>22</v>
      </c>
      <c r="M35" s="3">
        <v>76</v>
      </c>
      <c r="N35" s="4">
        <v>54</v>
      </c>
      <c r="P35" s="3">
        <v>49</v>
      </c>
      <c r="Q35" s="4">
        <v>42</v>
      </c>
      <c r="S35" s="7" t="s">
        <v>33</v>
      </c>
      <c r="T35" s="7">
        <v>4.1330180109952505E-5</v>
      </c>
      <c r="U35" s="7"/>
    </row>
    <row r="36" spans="1:25" ht="15.75" thickBot="1" x14ac:dyDescent="0.3">
      <c r="A36">
        <v>14</v>
      </c>
      <c r="B36" t="s">
        <v>6</v>
      </c>
      <c r="C36">
        <v>24</v>
      </c>
      <c r="D36">
        <v>20</v>
      </c>
      <c r="E36">
        <v>77</v>
      </c>
      <c r="F36" t="s">
        <v>22</v>
      </c>
      <c r="M36" s="3">
        <v>78</v>
      </c>
      <c r="N36" s="4">
        <v>48</v>
      </c>
      <c r="P36" s="3">
        <v>50</v>
      </c>
      <c r="Q36" s="4">
        <v>42</v>
      </c>
      <c r="S36" s="7" t="s">
        <v>34</v>
      </c>
      <c r="T36" s="7">
        <v>1.6486911739598198</v>
      </c>
      <c r="U36" s="7"/>
    </row>
    <row r="37" spans="1:25" x14ac:dyDescent="0.25">
      <c r="A37">
        <v>42</v>
      </c>
      <c r="B37" t="s">
        <v>5</v>
      </c>
      <c r="C37">
        <v>24</v>
      </c>
      <c r="D37">
        <v>38</v>
      </c>
      <c r="E37">
        <v>92</v>
      </c>
      <c r="F37" t="s">
        <v>21</v>
      </c>
      <c r="M37" s="3">
        <v>81</v>
      </c>
      <c r="N37" s="4">
        <v>51</v>
      </c>
      <c r="P37" s="3">
        <v>51</v>
      </c>
      <c r="Q37" s="4">
        <v>52</v>
      </c>
      <c r="S37" s="7" t="s">
        <v>35</v>
      </c>
      <c r="T37" s="7">
        <v>8.2660360219905009E-5</v>
      </c>
      <c r="U37" s="7"/>
      <c r="W37" s="9"/>
      <c r="X37" s="9" t="s">
        <v>48</v>
      </c>
      <c r="Y37" s="9" t="s">
        <v>49</v>
      </c>
    </row>
    <row r="38" spans="1:25" ht="15.75" thickBot="1" x14ac:dyDescent="0.3">
      <c r="A38">
        <v>46</v>
      </c>
      <c r="B38" t="s">
        <v>6</v>
      </c>
      <c r="C38">
        <v>24</v>
      </c>
      <c r="D38">
        <v>39</v>
      </c>
      <c r="E38">
        <v>65</v>
      </c>
      <c r="F38" t="s">
        <v>22</v>
      </c>
      <c r="M38" s="3">
        <v>82</v>
      </c>
      <c r="N38" s="4">
        <v>55</v>
      </c>
      <c r="P38" s="3">
        <v>53</v>
      </c>
      <c r="Q38" s="4">
        <v>54</v>
      </c>
      <c r="S38" s="8" t="s">
        <v>36</v>
      </c>
      <c r="T38" s="8">
        <v>1.965942323976257</v>
      </c>
      <c r="U38" s="8"/>
      <c r="W38" t="s">
        <v>27</v>
      </c>
      <c r="X38">
        <v>60.56</v>
      </c>
      <c r="Y38">
        <v>50.2</v>
      </c>
    </row>
    <row r="39" spans="1:25" x14ac:dyDescent="0.25">
      <c r="A39">
        <v>96</v>
      </c>
      <c r="B39" t="s">
        <v>5</v>
      </c>
      <c r="C39">
        <v>24</v>
      </c>
      <c r="D39">
        <v>60</v>
      </c>
      <c r="E39">
        <v>52</v>
      </c>
      <c r="F39" t="s">
        <v>21</v>
      </c>
      <c r="M39" s="3">
        <v>83</v>
      </c>
      <c r="N39" s="4">
        <v>41</v>
      </c>
      <c r="P39" s="3">
        <v>55</v>
      </c>
      <c r="Q39" s="4">
        <v>45</v>
      </c>
      <c r="W39" t="s">
        <v>28</v>
      </c>
      <c r="X39">
        <v>689.83557788944734</v>
      </c>
      <c r="Y39">
        <v>666.8542713567839</v>
      </c>
    </row>
    <row r="40" spans="1:25" x14ac:dyDescent="0.25">
      <c r="A40">
        <v>22</v>
      </c>
      <c r="B40" t="s">
        <v>5</v>
      </c>
      <c r="C40">
        <v>25</v>
      </c>
      <c r="D40">
        <v>24</v>
      </c>
      <c r="E40">
        <v>73</v>
      </c>
      <c r="F40" t="s">
        <v>21</v>
      </c>
      <c r="M40" s="3">
        <v>86</v>
      </c>
      <c r="N40" s="4">
        <v>46</v>
      </c>
      <c r="P40" s="3">
        <v>57</v>
      </c>
      <c r="Q40" s="4">
        <v>50</v>
      </c>
      <c r="S40" t="s">
        <v>41</v>
      </c>
      <c r="T40">
        <f>T31+U31</f>
        <v>400</v>
      </c>
      <c r="W40" t="s">
        <v>29</v>
      </c>
      <c r="X40">
        <v>200</v>
      </c>
      <c r="Y40">
        <v>200</v>
      </c>
    </row>
    <row r="41" spans="1:25" x14ac:dyDescent="0.25">
      <c r="A41">
        <v>133</v>
      </c>
      <c r="B41" t="s">
        <v>6</v>
      </c>
      <c r="C41">
        <v>25</v>
      </c>
      <c r="D41">
        <v>72</v>
      </c>
      <c r="E41">
        <v>34</v>
      </c>
      <c r="F41" t="s">
        <v>22</v>
      </c>
      <c r="M41" s="3">
        <v>92</v>
      </c>
      <c r="N41" s="4">
        <v>41</v>
      </c>
      <c r="P41" s="3">
        <v>59</v>
      </c>
      <c r="Q41" s="4">
        <v>51</v>
      </c>
      <c r="S41" t="s">
        <v>42</v>
      </c>
      <c r="T41">
        <f>T29-U29</f>
        <v>10.36</v>
      </c>
      <c r="W41" t="s">
        <v>47</v>
      </c>
      <c r="X41">
        <v>1.8571962441937138</v>
      </c>
      <c r="Y41">
        <v>1.8259987285822297</v>
      </c>
    </row>
    <row r="42" spans="1:25" x14ac:dyDescent="0.25">
      <c r="A42">
        <v>145</v>
      </c>
      <c r="B42" t="s">
        <v>5</v>
      </c>
      <c r="C42">
        <v>25</v>
      </c>
      <c r="D42">
        <v>77</v>
      </c>
      <c r="E42">
        <v>12</v>
      </c>
      <c r="F42" t="s">
        <v>21</v>
      </c>
      <c r="M42" s="3">
        <v>93</v>
      </c>
      <c r="N42" s="4">
        <v>49</v>
      </c>
      <c r="P42" s="3">
        <v>63</v>
      </c>
      <c r="Q42" s="4">
        <v>52</v>
      </c>
      <c r="S42" s="10" t="s">
        <v>43</v>
      </c>
      <c r="T42">
        <f>SQRT((T30/T31)+(U30/U31))</f>
        <v>2.6045055665579131</v>
      </c>
      <c r="W42" t="s">
        <v>46</v>
      </c>
      <c r="X42">
        <v>3.6511407003901657</v>
      </c>
      <c r="Y42">
        <v>3.5898081840466394</v>
      </c>
    </row>
    <row r="43" spans="1:25" x14ac:dyDescent="0.25">
      <c r="A43">
        <v>76</v>
      </c>
      <c r="B43" t="s">
        <v>5</v>
      </c>
      <c r="C43">
        <v>26</v>
      </c>
      <c r="D43">
        <v>54</v>
      </c>
      <c r="E43">
        <v>54</v>
      </c>
      <c r="F43" t="s">
        <v>21</v>
      </c>
      <c r="M43" s="3">
        <v>96</v>
      </c>
      <c r="N43" s="4">
        <v>52</v>
      </c>
      <c r="P43" s="3">
        <v>64</v>
      </c>
      <c r="Q43" s="4">
        <v>59</v>
      </c>
      <c r="W43" t="s">
        <v>45</v>
      </c>
      <c r="X43">
        <v>3.6511407003901657</v>
      </c>
      <c r="Y43">
        <v>3.5898081840466394</v>
      </c>
    </row>
    <row r="44" spans="1:25" x14ac:dyDescent="0.25">
      <c r="A44">
        <v>104</v>
      </c>
      <c r="B44" t="s">
        <v>5</v>
      </c>
      <c r="C44">
        <v>26</v>
      </c>
      <c r="D44">
        <v>62</v>
      </c>
      <c r="E44">
        <v>55</v>
      </c>
      <c r="F44" t="s">
        <v>21</v>
      </c>
      <c r="M44" s="3">
        <v>99</v>
      </c>
      <c r="N44" s="4">
        <v>42</v>
      </c>
      <c r="P44" s="3">
        <v>67</v>
      </c>
      <c r="Q44" s="4">
        <v>50</v>
      </c>
      <c r="S44" s="10" t="s">
        <v>44</v>
      </c>
      <c r="T44">
        <f>T42*T38</f>
        <v>5.1203077263279617</v>
      </c>
    </row>
    <row r="45" spans="1:25" x14ac:dyDescent="0.25">
      <c r="A45">
        <v>48</v>
      </c>
      <c r="B45" t="s">
        <v>6</v>
      </c>
      <c r="C45">
        <v>27</v>
      </c>
      <c r="D45">
        <v>40</v>
      </c>
      <c r="E45">
        <v>47</v>
      </c>
      <c r="F45" t="s">
        <v>22</v>
      </c>
      <c r="M45" s="3">
        <v>100</v>
      </c>
      <c r="N45" s="4">
        <v>49</v>
      </c>
      <c r="P45" s="3">
        <v>68</v>
      </c>
      <c r="Q45" s="4">
        <v>48</v>
      </c>
      <c r="S45" t="s">
        <v>45</v>
      </c>
      <c r="T45">
        <f>T41-T44</f>
        <v>5.2396922736720377</v>
      </c>
    </row>
    <row r="46" spans="1:25" x14ac:dyDescent="0.25">
      <c r="A46">
        <v>59</v>
      </c>
      <c r="B46" t="s">
        <v>6</v>
      </c>
      <c r="C46">
        <v>27</v>
      </c>
      <c r="D46">
        <v>46</v>
      </c>
      <c r="E46">
        <v>51</v>
      </c>
      <c r="F46" t="s">
        <v>22</v>
      </c>
      <c r="M46" s="3">
        <v>103</v>
      </c>
      <c r="N46" s="4">
        <v>59</v>
      </c>
      <c r="P46" s="3">
        <v>70</v>
      </c>
      <c r="Q46" s="4">
        <v>47</v>
      </c>
      <c r="S46" t="s">
        <v>46</v>
      </c>
      <c r="T46">
        <f>T41+T44</f>
        <v>15.480307726327961</v>
      </c>
    </row>
    <row r="47" spans="1:25" x14ac:dyDescent="0.25">
      <c r="A47">
        <v>98</v>
      </c>
      <c r="B47" t="s">
        <v>6</v>
      </c>
      <c r="C47">
        <v>27</v>
      </c>
      <c r="D47">
        <v>60</v>
      </c>
      <c r="E47">
        <v>50</v>
      </c>
      <c r="F47" t="s">
        <v>22</v>
      </c>
      <c r="M47" s="3">
        <v>104</v>
      </c>
      <c r="N47" s="4">
        <v>55</v>
      </c>
      <c r="P47" s="3">
        <v>72</v>
      </c>
      <c r="Q47" s="4">
        <v>42</v>
      </c>
    </row>
    <row r="48" spans="1:25" x14ac:dyDescent="0.25">
      <c r="A48">
        <v>121</v>
      </c>
      <c r="B48" t="s">
        <v>5</v>
      </c>
      <c r="C48">
        <v>27</v>
      </c>
      <c r="D48">
        <v>67</v>
      </c>
      <c r="E48">
        <v>56</v>
      </c>
      <c r="F48" t="s">
        <v>21</v>
      </c>
      <c r="M48" s="3">
        <v>105</v>
      </c>
      <c r="N48" s="4">
        <v>56</v>
      </c>
      <c r="P48" s="3">
        <v>73</v>
      </c>
      <c r="Q48" s="4">
        <v>49</v>
      </c>
    </row>
    <row r="49" spans="1:17" x14ac:dyDescent="0.25">
      <c r="A49">
        <v>156</v>
      </c>
      <c r="B49" t="s">
        <v>6</v>
      </c>
      <c r="C49">
        <v>27</v>
      </c>
      <c r="D49">
        <v>78</v>
      </c>
      <c r="E49">
        <v>89</v>
      </c>
      <c r="F49" t="s">
        <v>22</v>
      </c>
      <c r="M49" s="3">
        <v>108</v>
      </c>
      <c r="N49" s="4">
        <v>46</v>
      </c>
      <c r="P49" s="3">
        <v>74</v>
      </c>
      <c r="Q49" s="4">
        <v>56</v>
      </c>
    </row>
    <row r="50" spans="1:17" x14ac:dyDescent="0.25">
      <c r="A50">
        <v>178</v>
      </c>
      <c r="B50" t="s">
        <v>5</v>
      </c>
      <c r="C50">
        <v>27</v>
      </c>
      <c r="D50">
        <v>88</v>
      </c>
      <c r="E50">
        <v>69</v>
      </c>
      <c r="F50" t="s">
        <v>21</v>
      </c>
      <c r="M50" s="3">
        <v>109</v>
      </c>
      <c r="N50" s="4">
        <v>43</v>
      </c>
      <c r="P50" s="3">
        <v>77</v>
      </c>
      <c r="Q50" s="4">
        <v>53</v>
      </c>
    </row>
    <row r="51" spans="1:17" x14ac:dyDescent="0.25">
      <c r="A51">
        <v>143</v>
      </c>
      <c r="B51" t="s">
        <v>6</v>
      </c>
      <c r="C51">
        <v>28</v>
      </c>
      <c r="D51">
        <v>76</v>
      </c>
      <c r="E51">
        <v>40</v>
      </c>
      <c r="F51" t="s">
        <v>22</v>
      </c>
      <c r="M51" s="3">
        <v>110</v>
      </c>
      <c r="N51" s="4">
        <v>48</v>
      </c>
      <c r="P51" s="3">
        <v>79</v>
      </c>
      <c r="Q51" s="4">
        <v>52</v>
      </c>
    </row>
    <row r="52" spans="1:17" x14ac:dyDescent="0.25">
      <c r="A52">
        <v>146</v>
      </c>
      <c r="B52" t="s">
        <v>5</v>
      </c>
      <c r="C52">
        <v>28</v>
      </c>
      <c r="D52">
        <v>77</v>
      </c>
      <c r="E52">
        <v>97</v>
      </c>
      <c r="F52" t="s">
        <v>21</v>
      </c>
      <c r="M52" s="3">
        <v>111</v>
      </c>
      <c r="N52" s="4">
        <v>52</v>
      </c>
      <c r="P52" s="3">
        <v>80</v>
      </c>
      <c r="Q52" s="4">
        <v>42</v>
      </c>
    </row>
    <row r="53" spans="1:17" x14ac:dyDescent="0.25">
      <c r="A53">
        <v>172</v>
      </c>
      <c r="B53" t="s">
        <v>5</v>
      </c>
      <c r="C53">
        <v>28</v>
      </c>
      <c r="D53">
        <v>87</v>
      </c>
      <c r="E53">
        <v>75</v>
      </c>
      <c r="F53" t="s">
        <v>21</v>
      </c>
      <c r="M53" s="3">
        <v>114</v>
      </c>
      <c r="N53" s="4">
        <v>46</v>
      </c>
      <c r="P53" s="3">
        <v>84</v>
      </c>
      <c r="Q53" s="4">
        <v>44</v>
      </c>
    </row>
    <row r="54" spans="1:17" x14ac:dyDescent="0.25">
      <c r="A54">
        <v>188</v>
      </c>
      <c r="B54" t="s">
        <v>5</v>
      </c>
      <c r="C54">
        <v>28</v>
      </c>
      <c r="D54">
        <v>101</v>
      </c>
      <c r="E54">
        <v>68</v>
      </c>
      <c r="F54" t="s">
        <v>21</v>
      </c>
      <c r="M54" s="3">
        <v>121</v>
      </c>
      <c r="N54" s="4">
        <v>56</v>
      </c>
      <c r="P54" s="3">
        <v>85</v>
      </c>
      <c r="Q54" s="4">
        <v>57</v>
      </c>
    </row>
    <row r="55" spans="1:17" x14ac:dyDescent="0.25">
      <c r="A55">
        <v>26</v>
      </c>
      <c r="B55" t="s">
        <v>5</v>
      </c>
      <c r="C55">
        <v>29</v>
      </c>
      <c r="D55">
        <v>28</v>
      </c>
      <c r="E55">
        <v>82</v>
      </c>
      <c r="F55" t="s">
        <v>21</v>
      </c>
      <c r="M55" s="3">
        <v>124</v>
      </c>
      <c r="N55" s="4">
        <v>91</v>
      </c>
      <c r="P55" s="3">
        <v>87</v>
      </c>
      <c r="Q55" s="4">
        <v>58</v>
      </c>
    </row>
    <row r="56" spans="1:17" x14ac:dyDescent="0.25">
      <c r="A56">
        <v>49</v>
      </c>
      <c r="B56" t="s">
        <v>6</v>
      </c>
      <c r="C56">
        <v>29</v>
      </c>
      <c r="D56">
        <v>40</v>
      </c>
      <c r="E56">
        <v>42</v>
      </c>
      <c r="F56" t="s">
        <v>22</v>
      </c>
      <c r="M56" s="3">
        <v>127</v>
      </c>
      <c r="N56" s="4">
        <v>35</v>
      </c>
      <c r="P56" s="3">
        <v>88</v>
      </c>
      <c r="Q56" s="4">
        <v>55</v>
      </c>
    </row>
    <row r="57" spans="1:17" x14ac:dyDescent="0.25">
      <c r="A57">
        <v>136</v>
      </c>
      <c r="B57" t="s">
        <v>6</v>
      </c>
      <c r="C57">
        <v>29</v>
      </c>
      <c r="D57">
        <v>73</v>
      </c>
      <c r="E57">
        <v>88</v>
      </c>
      <c r="F57" t="s">
        <v>22</v>
      </c>
      <c r="M57" s="3">
        <v>128</v>
      </c>
      <c r="N57" s="4">
        <v>95</v>
      </c>
      <c r="P57" s="3">
        <v>89</v>
      </c>
      <c r="Q57" s="4">
        <v>60</v>
      </c>
    </row>
    <row r="58" spans="1:17" x14ac:dyDescent="0.25">
      <c r="A58">
        <v>162</v>
      </c>
      <c r="B58" t="s">
        <v>6</v>
      </c>
      <c r="C58">
        <v>29</v>
      </c>
      <c r="D58">
        <v>79</v>
      </c>
      <c r="E58">
        <v>83</v>
      </c>
      <c r="F58" t="s">
        <v>22</v>
      </c>
      <c r="M58" s="3">
        <v>129</v>
      </c>
      <c r="N58" s="4">
        <v>11</v>
      </c>
      <c r="P58" s="3">
        <v>90</v>
      </c>
      <c r="Q58" s="4">
        <v>46</v>
      </c>
    </row>
    <row r="59" spans="1:17" x14ac:dyDescent="0.25">
      <c r="A59">
        <v>184</v>
      </c>
      <c r="B59" t="s">
        <v>6</v>
      </c>
      <c r="C59">
        <v>29</v>
      </c>
      <c r="D59">
        <v>98</v>
      </c>
      <c r="E59">
        <v>88</v>
      </c>
      <c r="F59" t="s">
        <v>22</v>
      </c>
      <c r="M59" s="3">
        <v>130</v>
      </c>
      <c r="N59" s="4">
        <v>75</v>
      </c>
      <c r="P59" s="3">
        <v>91</v>
      </c>
      <c r="Q59" s="4">
        <v>55</v>
      </c>
    </row>
    <row r="60" spans="1:17" x14ac:dyDescent="0.25">
      <c r="A60">
        <v>10</v>
      </c>
      <c r="B60" t="s">
        <v>6</v>
      </c>
      <c r="C60">
        <v>30</v>
      </c>
      <c r="D60">
        <v>19</v>
      </c>
      <c r="E60">
        <v>72</v>
      </c>
      <c r="F60" t="s">
        <v>22</v>
      </c>
      <c r="M60" s="3">
        <v>131</v>
      </c>
      <c r="N60" s="4">
        <v>9</v>
      </c>
      <c r="P60" s="3">
        <v>94</v>
      </c>
      <c r="Q60" s="4">
        <v>40</v>
      </c>
    </row>
    <row r="61" spans="1:17" x14ac:dyDescent="0.25">
      <c r="A61">
        <v>38</v>
      </c>
      <c r="B61" t="s">
        <v>6</v>
      </c>
      <c r="C61">
        <v>30</v>
      </c>
      <c r="D61">
        <v>34</v>
      </c>
      <c r="E61">
        <v>73</v>
      </c>
      <c r="F61" t="s">
        <v>22</v>
      </c>
      <c r="M61" s="3">
        <v>132</v>
      </c>
      <c r="N61" s="4">
        <v>75</v>
      </c>
      <c r="P61" s="3">
        <v>95</v>
      </c>
      <c r="Q61" s="4">
        <v>42</v>
      </c>
    </row>
    <row r="62" spans="1:17" x14ac:dyDescent="0.25">
      <c r="A62">
        <v>158</v>
      </c>
      <c r="B62" t="s">
        <v>6</v>
      </c>
      <c r="C62">
        <v>30</v>
      </c>
      <c r="D62">
        <v>78</v>
      </c>
      <c r="E62">
        <v>78</v>
      </c>
      <c r="F62" t="s">
        <v>22</v>
      </c>
      <c r="M62" s="3">
        <v>135</v>
      </c>
      <c r="N62" s="4">
        <v>5</v>
      </c>
      <c r="P62" s="3">
        <v>97</v>
      </c>
      <c r="Q62" s="4">
        <v>47</v>
      </c>
    </row>
    <row r="63" spans="1:17" x14ac:dyDescent="0.25">
      <c r="A63">
        <v>160</v>
      </c>
      <c r="B63" t="s">
        <v>6</v>
      </c>
      <c r="C63">
        <v>30</v>
      </c>
      <c r="D63">
        <v>78</v>
      </c>
      <c r="E63">
        <v>73</v>
      </c>
      <c r="F63" t="s">
        <v>22</v>
      </c>
      <c r="M63" s="3">
        <v>138</v>
      </c>
      <c r="N63" s="4">
        <v>73</v>
      </c>
      <c r="P63" s="3">
        <v>98</v>
      </c>
      <c r="Q63" s="4">
        <v>50</v>
      </c>
    </row>
    <row r="64" spans="1:17" x14ac:dyDescent="0.25">
      <c r="A64">
        <v>176</v>
      </c>
      <c r="B64" t="s">
        <v>6</v>
      </c>
      <c r="C64">
        <v>30</v>
      </c>
      <c r="D64">
        <v>88</v>
      </c>
      <c r="E64">
        <v>86</v>
      </c>
      <c r="F64" t="s">
        <v>22</v>
      </c>
      <c r="M64" s="3">
        <v>139</v>
      </c>
      <c r="N64" s="4">
        <v>10</v>
      </c>
      <c r="P64" s="3">
        <v>101</v>
      </c>
      <c r="Q64" s="4">
        <v>41</v>
      </c>
    </row>
    <row r="65" spans="1:17" x14ac:dyDescent="0.25">
      <c r="A65">
        <v>186</v>
      </c>
      <c r="B65" t="s">
        <v>5</v>
      </c>
      <c r="C65">
        <v>30</v>
      </c>
      <c r="D65">
        <v>99</v>
      </c>
      <c r="E65">
        <v>97</v>
      </c>
      <c r="F65" t="s">
        <v>21</v>
      </c>
      <c r="M65" s="3">
        <v>142</v>
      </c>
      <c r="N65" s="4">
        <v>93</v>
      </c>
      <c r="P65" s="3">
        <v>102</v>
      </c>
      <c r="Q65" s="4">
        <v>48</v>
      </c>
    </row>
    <row r="66" spans="1:17" x14ac:dyDescent="0.25">
      <c r="A66">
        <v>200</v>
      </c>
      <c r="B66" t="s">
        <v>5</v>
      </c>
      <c r="C66">
        <v>30</v>
      </c>
      <c r="D66">
        <v>137</v>
      </c>
      <c r="E66">
        <v>83</v>
      </c>
      <c r="F66" t="s">
        <v>21</v>
      </c>
      <c r="M66" s="3">
        <v>145</v>
      </c>
      <c r="N66" s="4">
        <v>12</v>
      </c>
      <c r="P66" s="3">
        <v>106</v>
      </c>
      <c r="Q66" s="4">
        <v>42</v>
      </c>
    </row>
    <row r="67" spans="1:17" x14ac:dyDescent="0.25">
      <c r="A67">
        <v>5</v>
      </c>
      <c r="B67" t="s">
        <v>6</v>
      </c>
      <c r="C67">
        <v>31</v>
      </c>
      <c r="D67">
        <v>17</v>
      </c>
      <c r="E67">
        <v>40</v>
      </c>
      <c r="F67" t="s">
        <v>22</v>
      </c>
      <c r="M67" s="3">
        <v>146</v>
      </c>
      <c r="N67" s="4">
        <v>97</v>
      </c>
      <c r="P67" s="3">
        <v>107</v>
      </c>
      <c r="Q67" s="4">
        <v>50</v>
      </c>
    </row>
    <row r="68" spans="1:17" x14ac:dyDescent="0.25">
      <c r="A68">
        <v>24</v>
      </c>
      <c r="B68" t="s">
        <v>5</v>
      </c>
      <c r="C68">
        <v>31</v>
      </c>
      <c r="D68">
        <v>25</v>
      </c>
      <c r="E68">
        <v>73</v>
      </c>
      <c r="F68" t="s">
        <v>21</v>
      </c>
      <c r="M68" s="3">
        <v>147</v>
      </c>
      <c r="N68" s="4">
        <v>36</v>
      </c>
      <c r="P68" s="3">
        <v>112</v>
      </c>
      <c r="Q68" s="4">
        <v>54</v>
      </c>
    </row>
    <row r="69" spans="1:17" x14ac:dyDescent="0.25">
      <c r="A69">
        <v>44</v>
      </c>
      <c r="B69" t="s">
        <v>6</v>
      </c>
      <c r="C69">
        <v>31</v>
      </c>
      <c r="D69">
        <v>39</v>
      </c>
      <c r="E69">
        <v>61</v>
      </c>
      <c r="F69" t="s">
        <v>22</v>
      </c>
      <c r="M69" s="3">
        <v>150</v>
      </c>
      <c r="N69" s="4">
        <v>90</v>
      </c>
      <c r="P69" s="3">
        <v>113</v>
      </c>
      <c r="Q69" s="4">
        <v>42</v>
      </c>
    </row>
    <row r="70" spans="1:17" x14ac:dyDescent="0.25">
      <c r="A70">
        <v>50</v>
      </c>
      <c r="B70" t="s">
        <v>6</v>
      </c>
      <c r="C70">
        <v>31</v>
      </c>
      <c r="D70">
        <v>40</v>
      </c>
      <c r="E70">
        <v>42</v>
      </c>
      <c r="F70" t="s">
        <v>22</v>
      </c>
      <c r="M70" s="3">
        <v>151</v>
      </c>
      <c r="N70" s="4">
        <v>17</v>
      </c>
      <c r="P70" s="3">
        <v>115</v>
      </c>
      <c r="Q70" s="4">
        <v>48</v>
      </c>
    </row>
    <row r="71" spans="1:17" x14ac:dyDescent="0.25">
      <c r="A71">
        <v>53</v>
      </c>
      <c r="B71" t="s">
        <v>6</v>
      </c>
      <c r="C71">
        <v>31</v>
      </c>
      <c r="D71">
        <v>43</v>
      </c>
      <c r="E71">
        <v>54</v>
      </c>
      <c r="F71" t="s">
        <v>22</v>
      </c>
      <c r="M71" s="3">
        <v>152</v>
      </c>
      <c r="N71" s="4">
        <v>88</v>
      </c>
      <c r="P71" s="3">
        <v>116</v>
      </c>
      <c r="Q71" s="4">
        <v>50</v>
      </c>
    </row>
    <row r="72" spans="1:17" x14ac:dyDescent="0.25">
      <c r="A72">
        <v>126</v>
      </c>
      <c r="B72" t="s">
        <v>6</v>
      </c>
      <c r="C72">
        <v>31</v>
      </c>
      <c r="D72">
        <v>70</v>
      </c>
      <c r="E72">
        <v>77</v>
      </c>
      <c r="F72" t="s">
        <v>22</v>
      </c>
      <c r="M72" s="3">
        <v>157</v>
      </c>
      <c r="N72" s="4">
        <v>1</v>
      </c>
      <c r="P72" s="3">
        <v>117</v>
      </c>
      <c r="Q72" s="4">
        <v>43</v>
      </c>
    </row>
    <row r="73" spans="1:17" x14ac:dyDescent="0.25">
      <c r="A73">
        <v>134</v>
      </c>
      <c r="B73" t="s">
        <v>6</v>
      </c>
      <c r="C73">
        <v>31</v>
      </c>
      <c r="D73">
        <v>72</v>
      </c>
      <c r="E73">
        <v>71</v>
      </c>
      <c r="F73" t="s">
        <v>22</v>
      </c>
      <c r="M73" s="3">
        <v>159</v>
      </c>
      <c r="N73" s="4">
        <v>1</v>
      </c>
      <c r="P73" s="3">
        <v>118</v>
      </c>
      <c r="Q73" s="4">
        <v>59</v>
      </c>
    </row>
    <row r="74" spans="1:17" x14ac:dyDescent="0.25">
      <c r="A74">
        <v>164</v>
      </c>
      <c r="B74" t="s">
        <v>6</v>
      </c>
      <c r="C74">
        <v>31</v>
      </c>
      <c r="D74">
        <v>81</v>
      </c>
      <c r="E74">
        <v>93</v>
      </c>
      <c r="F74" t="s">
        <v>22</v>
      </c>
      <c r="M74" s="3">
        <v>163</v>
      </c>
      <c r="N74" s="4">
        <v>5</v>
      </c>
      <c r="P74" s="3">
        <v>119</v>
      </c>
      <c r="Q74" s="4">
        <v>43</v>
      </c>
    </row>
    <row r="75" spans="1:17" x14ac:dyDescent="0.25">
      <c r="A75">
        <v>70</v>
      </c>
      <c r="B75" t="s">
        <v>6</v>
      </c>
      <c r="C75">
        <v>32</v>
      </c>
      <c r="D75">
        <v>48</v>
      </c>
      <c r="E75">
        <v>47</v>
      </c>
      <c r="F75" t="s">
        <v>22</v>
      </c>
      <c r="M75" s="3">
        <v>165</v>
      </c>
      <c r="N75" s="4">
        <v>26</v>
      </c>
      <c r="P75" s="3">
        <v>120</v>
      </c>
      <c r="Q75" s="4">
        <v>57</v>
      </c>
    </row>
    <row r="76" spans="1:17" x14ac:dyDescent="0.25">
      <c r="A76">
        <v>95</v>
      </c>
      <c r="B76" t="s">
        <v>6</v>
      </c>
      <c r="C76">
        <v>32</v>
      </c>
      <c r="D76">
        <v>60</v>
      </c>
      <c r="E76">
        <v>42</v>
      </c>
      <c r="F76" t="s">
        <v>22</v>
      </c>
      <c r="M76" s="3">
        <v>167</v>
      </c>
      <c r="N76" s="4">
        <v>20</v>
      </c>
      <c r="P76" s="3">
        <v>122</v>
      </c>
      <c r="Q76" s="4">
        <v>40</v>
      </c>
    </row>
    <row r="77" spans="1:17" x14ac:dyDescent="0.25">
      <c r="A77">
        <v>138</v>
      </c>
      <c r="B77" t="s">
        <v>5</v>
      </c>
      <c r="C77">
        <v>32</v>
      </c>
      <c r="D77">
        <v>73</v>
      </c>
      <c r="E77">
        <v>73</v>
      </c>
      <c r="F77" t="s">
        <v>21</v>
      </c>
      <c r="M77" s="3">
        <v>170</v>
      </c>
      <c r="N77" s="4">
        <v>63</v>
      </c>
      <c r="P77" s="3">
        <v>123</v>
      </c>
      <c r="Q77" s="4">
        <v>58</v>
      </c>
    </row>
    <row r="78" spans="1:17" x14ac:dyDescent="0.25">
      <c r="A78">
        <v>142</v>
      </c>
      <c r="B78" t="s">
        <v>5</v>
      </c>
      <c r="C78">
        <v>32</v>
      </c>
      <c r="D78">
        <v>75</v>
      </c>
      <c r="E78">
        <v>93</v>
      </c>
      <c r="F78" t="s">
        <v>21</v>
      </c>
      <c r="M78" s="3">
        <v>171</v>
      </c>
      <c r="N78" s="4">
        <v>13</v>
      </c>
      <c r="P78" s="3">
        <v>125</v>
      </c>
      <c r="Q78" s="4">
        <v>29</v>
      </c>
    </row>
    <row r="79" spans="1:17" x14ac:dyDescent="0.25">
      <c r="A79">
        <v>144</v>
      </c>
      <c r="B79" t="s">
        <v>6</v>
      </c>
      <c r="C79">
        <v>32</v>
      </c>
      <c r="D79">
        <v>76</v>
      </c>
      <c r="E79">
        <v>87</v>
      </c>
      <c r="F79" t="s">
        <v>22</v>
      </c>
      <c r="M79" s="3">
        <v>172</v>
      </c>
      <c r="N79" s="4">
        <v>75</v>
      </c>
      <c r="P79" s="3">
        <v>126</v>
      </c>
      <c r="Q79" s="4">
        <v>77</v>
      </c>
    </row>
    <row r="80" spans="1:17" x14ac:dyDescent="0.25">
      <c r="A80">
        <v>148</v>
      </c>
      <c r="B80" t="s">
        <v>6</v>
      </c>
      <c r="C80">
        <v>32</v>
      </c>
      <c r="D80">
        <v>77</v>
      </c>
      <c r="E80">
        <v>74</v>
      </c>
      <c r="F80" t="s">
        <v>22</v>
      </c>
      <c r="M80" s="3">
        <v>173</v>
      </c>
      <c r="N80" s="4">
        <v>10</v>
      </c>
      <c r="P80" s="3">
        <v>133</v>
      </c>
      <c r="Q80" s="4">
        <v>34</v>
      </c>
    </row>
    <row r="81" spans="1:17" x14ac:dyDescent="0.25">
      <c r="A81">
        <v>170</v>
      </c>
      <c r="B81" t="s">
        <v>5</v>
      </c>
      <c r="C81">
        <v>32</v>
      </c>
      <c r="D81">
        <v>87</v>
      </c>
      <c r="E81">
        <v>63</v>
      </c>
      <c r="F81" t="s">
        <v>21</v>
      </c>
      <c r="M81" s="3">
        <v>174</v>
      </c>
      <c r="N81" s="4">
        <v>92</v>
      </c>
      <c r="P81" s="3">
        <v>134</v>
      </c>
      <c r="Q81" s="4">
        <v>71</v>
      </c>
    </row>
    <row r="82" spans="1:17" x14ac:dyDescent="0.25">
      <c r="A82">
        <v>182</v>
      </c>
      <c r="B82" t="s">
        <v>6</v>
      </c>
      <c r="C82">
        <v>32</v>
      </c>
      <c r="D82">
        <v>97</v>
      </c>
      <c r="E82">
        <v>86</v>
      </c>
      <c r="F82" t="s">
        <v>22</v>
      </c>
      <c r="M82" s="3">
        <v>177</v>
      </c>
      <c r="N82" s="4">
        <v>15</v>
      </c>
      <c r="P82" s="3">
        <v>136</v>
      </c>
      <c r="Q82" s="4">
        <v>88</v>
      </c>
    </row>
    <row r="83" spans="1:17" x14ac:dyDescent="0.25">
      <c r="A83">
        <v>192</v>
      </c>
      <c r="B83" t="s">
        <v>6</v>
      </c>
      <c r="C83">
        <v>32</v>
      </c>
      <c r="D83">
        <v>103</v>
      </c>
      <c r="E83">
        <v>69</v>
      </c>
      <c r="F83" t="s">
        <v>22</v>
      </c>
      <c r="M83" s="3">
        <v>178</v>
      </c>
      <c r="N83" s="4">
        <v>69</v>
      </c>
      <c r="P83" s="3">
        <v>137</v>
      </c>
      <c r="Q83" s="4">
        <v>7</v>
      </c>
    </row>
    <row r="84" spans="1:17" x14ac:dyDescent="0.25">
      <c r="A84">
        <v>198</v>
      </c>
      <c r="B84" t="s">
        <v>5</v>
      </c>
      <c r="C84">
        <v>32</v>
      </c>
      <c r="D84">
        <v>126</v>
      </c>
      <c r="E84">
        <v>74</v>
      </c>
      <c r="F84" t="s">
        <v>21</v>
      </c>
      <c r="M84" s="3">
        <v>179</v>
      </c>
      <c r="N84" s="4">
        <v>14</v>
      </c>
      <c r="P84" s="3">
        <v>140</v>
      </c>
      <c r="Q84" s="4">
        <v>72</v>
      </c>
    </row>
    <row r="85" spans="1:17" x14ac:dyDescent="0.25">
      <c r="A85">
        <v>199</v>
      </c>
      <c r="B85" t="s">
        <v>5</v>
      </c>
      <c r="C85">
        <v>32</v>
      </c>
      <c r="D85">
        <v>137</v>
      </c>
      <c r="E85">
        <v>18</v>
      </c>
      <c r="F85" t="s">
        <v>21</v>
      </c>
      <c r="M85" s="3">
        <v>180</v>
      </c>
      <c r="N85" s="4">
        <v>90</v>
      </c>
      <c r="P85" s="3">
        <v>141</v>
      </c>
      <c r="Q85" s="4">
        <v>5</v>
      </c>
    </row>
    <row r="86" spans="1:17" x14ac:dyDescent="0.25">
      <c r="A86">
        <v>52</v>
      </c>
      <c r="B86" t="s">
        <v>5</v>
      </c>
      <c r="C86">
        <v>33</v>
      </c>
      <c r="D86">
        <v>42</v>
      </c>
      <c r="E86">
        <v>60</v>
      </c>
      <c r="F86" t="s">
        <v>21</v>
      </c>
      <c r="M86" s="3">
        <v>183</v>
      </c>
      <c r="N86" s="4">
        <v>15</v>
      </c>
      <c r="P86" s="3">
        <v>143</v>
      </c>
      <c r="Q86" s="4">
        <v>40</v>
      </c>
    </row>
    <row r="87" spans="1:17" x14ac:dyDescent="0.25">
      <c r="A87">
        <v>168</v>
      </c>
      <c r="B87" t="s">
        <v>6</v>
      </c>
      <c r="C87">
        <v>33</v>
      </c>
      <c r="D87">
        <v>86</v>
      </c>
      <c r="E87">
        <v>95</v>
      </c>
      <c r="F87" t="s">
        <v>22</v>
      </c>
      <c r="M87" s="3">
        <v>186</v>
      </c>
      <c r="N87" s="4">
        <v>97</v>
      </c>
      <c r="P87" s="3">
        <v>144</v>
      </c>
      <c r="Q87" s="4">
        <v>87</v>
      </c>
    </row>
    <row r="88" spans="1:17" x14ac:dyDescent="0.25">
      <c r="A88">
        <v>193</v>
      </c>
      <c r="B88" t="s">
        <v>5</v>
      </c>
      <c r="C88">
        <v>33</v>
      </c>
      <c r="D88">
        <v>113</v>
      </c>
      <c r="E88">
        <v>8</v>
      </c>
      <c r="F88" t="s">
        <v>21</v>
      </c>
      <c r="M88" s="3">
        <v>188</v>
      </c>
      <c r="N88" s="4">
        <v>68</v>
      </c>
      <c r="P88" s="3">
        <v>148</v>
      </c>
      <c r="Q88" s="4">
        <v>74</v>
      </c>
    </row>
    <row r="89" spans="1:17" x14ac:dyDescent="0.25">
      <c r="A89">
        <v>89</v>
      </c>
      <c r="B89" t="s">
        <v>6</v>
      </c>
      <c r="C89">
        <v>34</v>
      </c>
      <c r="D89">
        <v>58</v>
      </c>
      <c r="E89">
        <v>60</v>
      </c>
      <c r="F89" t="s">
        <v>22</v>
      </c>
      <c r="M89" s="3">
        <v>193</v>
      </c>
      <c r="N89" s="4">
        <v>8</v>
      </c>
      <c r="P89" s="3">
        <v>149</v>
      </c>
      <c r="Q89" s="4">
        <v>22</v>
      </c>
    </row>
    <row r="90" spans="1:17" x14ac:dyDescent="0.25">
      <c r="A90">
        <v>149</v>
      </c>
      <c r="B90" t="s">
        <v>6</v>
      </c>
      <c r="C90">
        <v>34</v>
      </c>
      <c r="D90">
        <v>78</v>
      </c>
      <c r="E90">
        <v>22</v>
      </c>
      <c r="F90" t="s">
        <v>22</v>
      </c>
      <c r="M90" s="3">
        <v>198</v>
      </c>
      <c r="N90" s="4">
        <v>74</v>
      </c>
      <c r="P90" s="3">
        <v>153</v>
      </c>
      <c r="Q90" s="4">
        <v>20</v>
      </c>
    </row>
    <row r="91" spans="1:17" x14ac:dyDescent="0.25">
      <c r="A91">
        <v>150</v>
      </c>
      <c r="B91" t="s">
        <v>5</v>
      </c>
      <c r="C91">
        <v>34</v>
      </c>
      <c r="D91">
        <v>78</v>
      </c>
      <c r="E91">
        <v>90</v>
      </c>
      <c r="F91" t="s">
        <v>21</v>
      </c>
      <c r="M91" s="3">
        <v>199</v>
      </c>
      <c r="N91" s="4">
        <v>18</v>
      </c>
      <c r="P91" s="3">
        <v>154</v>
      </c>
      <c r="Q91" s="4">
        <v>76</v>
      </c>
    </row>
    <row r="92" spans="1:17" x14ac:dyDescent="0.25">
      <c r="A92">
        <v>159</v>
      </c>
      <c r="B92" t="s">
        <v>5</v>
      </c>
      <c r="C92">
        <v>34</v>
      </c>
      <c r="D92">
        <v>78</v>
      </c>
      <c r="E92">
        <v>1</v>
      </c>
      <c r="F92" t="s">
        <v>21</v>
      </c>
      <c r="M92" s="3">
        <v>200</v>
      </c>
      <c r="N92" s="4">
        <v>83</v>
      </c>
      <c r="P92" s="3">
        <v>155</v>
      </c>
      <c r="Q92" s="4">
        <v>16</v>
      </c>
    </row>
    <row r="93" spans="1:17" x14ac:dyDescent="0.25">
      <c r="A93">
        <v>191</v>
      </c>
      <c r="B93" t="s">
        <v>6</v>
      </c>
      <c r="C93">
        <v>34</v>
      </c>
      <c r="D93">
        <v>103</v>
      </c>
      <c r="E93">
        <v>23</v>
      </c>
      <c r="F93" t="s">
        <v>22</v>
      </c>
      <c r="M93" s="3" t="s">
        <v>10</v>
      </c>
      <c r="N93" s="4">
        <v>4269</v>
      </c>
      <c r="P93" s="3">
        <v>156</v>
      </c>
      <c r="Q93" s="4">
        <v>89</v>
      </c>
    </row>
    <row r="94" spans="1:17" x14ac:dyDescent="0.25">
      <c r="A94">
        <v>7</v>
      </c>
      <c r="B94" t="s">
        <v>6</v>
      </c>
      <c r="C94">
        <v>35</v>
      </c>
      <c r="D94">
        <v>18</v>
      </c>
      <c r="E94">
        <v>6</v>
      </c>
      <c r="F94" t="s">
        <v>22</v>
      </c>
      <c r="P94" s="3">
        <v>158</v>
      </c>
      <c r="Q94" s="4">
        <v>78</v>
      </c>
    </row>
    <row r="95" spans="1:17" x14ac:dyDescent="0.25">
      <c r="A95">
        <v>12</v>
      </c>
      <c r="B95" t="s">
        <v>6</v>
      </c>
      <c r="C95">
        <v>35</v>
      </c>
      <c r="D95">
        <v>19</v>
      </c>
      <c r="E95">
        <v>99</v>
      </c>
      <c r="F95" t="s">
        <v>22</v>
      </c>
      <c r="P95" s="3">
        <v>160</v>
      </c>
      <c r="Q95" s="4">
        <v>73</v>
      </c>
    </row>
    <row r="96" spans="1:17" x14ac:dyDescent="0.25">
      <c r="A96">
        <v>17</v>
      </c>
      <c r="B96" t="s">
        <v>6</v>
      </c>
      <c r="C96">
        <v>35</v>
      </c>
      <c r="D96">
        <v>21</v>
      </c>
      <c r="E96">
        <v>35</v>
      </c>
      <c r="F96" t="s">
        <v>22</v>
      </c>
      <c r="P96" s="3">
        <v>161</v>
      </c>
      <c r="Q96" s="4">
        <v>35</v>
      </c>
    </row>
    <row r="97" spans="1:17" x14ac:dyDescent="0.25">
      <c r="A97">
        <v>20</v>
      </c>
      <c r="B97" t="s">
        <v>6</v>
      </c>
      <c r="C97">
        <v>35</v>
      </c>
      <c r="D97">
        <v>23</v>
      </c>
      <c r="E97">
        <v>98</v>
      </c>
      <c r="F97" t="s">
        <v>22</v>
      </c>
      <c r="P97" s="3">
        <v>162</v>
      </c>
      <c r="Q97" s="4">
        <v>83</v>
      </c>
    </row>
    <row r="98" spans="1:17" x14ac:dyDescent="0.25">
      <c r="A98">
        <v>21</v>
      </c>
      <c r="B98" t="s">
        <v>5</v>
      </c>
      <c r="C98">
        <v>35</v>
      </c>
      <c r="D98">
        <v>24</v>
      </c>
      <c r="E98">
        <v>35</v>
      </c>
      <c r="F98" t="s">
        <v>21</v>
      </c>
      <c r="P98" s="3">
        <v>164</v>
      </c>
      <c r="Q98" s="4">
        <v>93</v>
      </c>
    </row>
    <row r="99" spans="1:17" x14ac:dyDescent="0.25">
      <c r="A99">
        <v>28</v>
      </c>
      <c r="B99" t="s">
        <v>5</v>
      </c>
      <c r="C99">
        <v>35</v>
      </c>
      <c r="D99">
        <v>28</v>
      </c>
      <c r="E99">
        <v>61</v>
      </c>
      <c r="F99" t="s">
        <v>21</v>
      </c>
      <c r="P99" s="3">
        <v>166</v>
      </c>
      <c r="Q99" s="4">
        <v>75</v>
      </c>
    </row>
    <row r="100" spans="1:17" x14ac:dyDescent="0.25">
      <c r="A100">
        <v>140</v>
      </c>
      <c r="B100" t="s">
        <v>6</v>
      </c>
      <c r="C100">
        <v>35</v>
      </c>
      <c r="D100">
        <v>74</v>
      </c>
      <c r="E100">
        <v>72</v>
      </c>
      <c r="F100" t="s">
        <v>22</v>
      </c>
      <c r="P100" s="3">
        <v>168</v>
      </c>
      <c r="Q100" s="4">
        <v>95</v>
      </c>
    </row>
    <row r="101" spans="1:17" x14ac:dyDescent="0.25">
      <c r="A101">
        <v>180</v>
      </c>
      <c r="B101" t="s">
        <v>5</v>
      </c>
      <c r="C101">
        <v>35</v>
      </c>
      <c r="D101">
        <v>93</v>
      </c>
      <c r="E101">
        <v>90</v>
      </c>
      <c r="F101" t="s">
        <v>21</v>
      </c>
      <c r="P101" s="3">
        <v>169</v>
      </c>
      <c r="Q101" s="4">
        <v>27</v>
      </c>
    </row>
    <row r="102" spans="1:17" x14ac:dyDescent="0.25">
      <c r="A102">
        <v>196</v>
      </c>
      <c r="B102" t="s">
        <v>6</v>
      </c>
      <c r="C102">
        <v>35</v>
      </c>
      <c r="D102">
        <v>120</v>
      </c>
      <c r="E102">
        <v>79</v>
      </c>
      <c r="F102" t="s">
        <v>22</v>
      </c>
      <c r="P102" s="3">
        <v>175</v>
      </c>
      <c r="Q102" s="4">
        <v>13</v>
      </c>
    </row>
    <row r="103" spans="1:17" x14ac:dyDescent="0.25">
      <c r="A103">
        <v>39</v>
      </c>
      <c r="B103" t="s">
        <v>6</v>
      </c>
      <c r="C103">
        <v>36</v>
      </c>
      <c r="D103">
        <v>37</v>
      </c>
      <c r="E103">
        <v>26</v>
      </c>
      <c r="F103" t="s">
        <v>22</v>
      </c>
      <c r="P103" s="3">
        <v>176</v>
      </c>
      <c r="Q103" s="4">
        <v>86</v>
      </c>
    </row>
    <row r="104" spans="1:17" x14ac:dyDescent="0.25">
      <c r="A104">
        <v>166</v>
      </c>
      <c r="B104" t="s">
        <v>6</v>
      </c>
      <c r="C104">
        <v>36</v>
      </c>
      <c r="D104">
        <v>85</v>
      </c>
      <c r="E104">
        <v>75</v>
      </c>
      <c r="F104" t="s">
        <v>22</v>
      </c>
      <c r="P104" s="3">
        <v>181</v>
      </c>
      <c r="Q104" s="4">
        <v>32</v>
      </c>
    </row>
    <row r="105" spans="1:17" x14ac:dyDescent="0.25">
      <c r="A105">
        <v>169</v>
      </c>
      <c r="B105" t="s">
        <v>6</v>
      </c>
      <c r="C105">
        <v>36</v>
      </c>
      <c r="D105">
        <v>87</v>
      </c>
      <c r="E105">
        <v>27</v>
      </c>
      <c r="F105" t="s">
        <v>22</v>
      </c>
      <c r="P105" s="3">
        <v>182</v>
      </c>
      <c r="Q105" s="4">
        <v>86</v>
      </c>
    </row>
    <row r="106" spans="1:17" x14ac:dyDescent="0.25">
      <c r="A106">
        <v>173</v>
      </c>
      <c r="B106" t="s">
        <v>5</v>
      </c>
      <c r="C106">
        <v>36</v>
      </c>
      <c r="D106">
        <v>87</v>
      </c>
      <c r="E106">
        <v>10</v>
      </c>
      <c r="F106" t="s">
        <v>21</v>
      </c>
      <c r="P106" s="3">
        <v>184</v>
      </c>
      <c r="Q106" s="4">
        <v>88</v>
      </c>
    </row>
    <row r="107" spans="1:17" x14ac:dyDescent="0.25">
      <c r="A107">
        <v>174</v>
      </c>
      <c r="B107" t="s">
        <v>5</v>
      </c>
      <c r="C107">
        <v>36</v>
      </c>
      <c r="D107">
        <v>87</v>
      </c>
      <c r="E107">
        <v>92</v>
      </c>
      <c r="F107" t="s">
        <v>21</v>
      </c>
      <c r="P107" s="3">
        <v>185</v>
      </c>
      <c r="Q107" s="4">
        <v>39</v>
      </c>
    </row>
    <row r="108" spans="1:17" x14ac:dyDescent="0.25">
      <c r="A108">
        <v>190</v>
      </c>
      <c r="B108" t="s">
        <v>6</v>
      </c>
      <c r="C108">
        <v>36</v>
      </c>
      <c r="D108">
        <v>103</v>
      </c>
      <c r="E108">
        <v>85</v>
      </c>
      <c r="F108" t="s">
        <v>22</v>
      </c>
      <c r="P108" s="3">
        <v>187</v>
      </c>
      <c r="Q108" s="4">
        <v>24</v>
      </c>
    </row>
    <row r="109" spans="1:17" x14ac:dyDescent="0.25">
      <c r="A109">
        <v>15</v>
      </c>
      <c r="B109" t="s">
        <v>5</v>
      </c>
      <c r="C109">
        <v>37</v>
      </c>
      <c r="D109">
        <v>20</v>
      </c>
      <c r="E109">
        <v>13</v>
      </c>
      <c r="F109" t="s">
        <v>21</v>
      </c>
      <c r="P109" s="3">
        <v>189</v>
      </c>
      <c r="Q109" s="4">
        <v>17</v>
      </c>
    </row>
    <row r="110" spans="1:17" x14ac:dyDescent="0.25">
      <c r="A110">
        <v>157</v>
      </c>
      <c r="B110" t="s">
        <v>5</v>
      </c>
      <c r="C110">
        <v>37</v>
      </c>
      <c r="D110">
        <v>78</v>
      </c>
      <c r="E110">
        <v>1</v>
      </c>
      <c r="F110" t="s">
        <v>21</v>
      </c>
      <c r="P110" s="3">
        <v>190</v>
      </c>
      <c r="Q110" s="4">
        <v>85</v>
      </c>
    </row>
    <row r="111" spans="1:17" x14ac:dyDescent="0.25">
      <c r="A111">
        <v>181</v>
      </c>
      <c r="B111" t="s">
        <v>6</v>
      </c>
      <c r="C111">
        <v>37</v>
      </c>
      <c r="D111">
        <v>97</v>
      </c>
      <c r="E111">
        <v>32</v>
      </c>
      <c r="F111" t="s">
        <v>22</v>
      </c>
      <c r="P111" s="3">
        <v>191</v>
      </c>
      <c r="Q111" s="4">
        <v>23</v>
      </c>
    </row>
    <row r="112" spans="1:17" x14ac:dyDescent="0.25">
      <c r="A112">
        <v>82</v>
      </c>
      <c r="B112" t="s">
        <v>5</v>
      </c>
      <c r="C112">
        <v>38</v>
      </c>
      <c r="D112">
        <v>54</v>
      </c>
      <c r="E112">
        <v>55</v>
      </c>
      <c r="F112" t="s">
        <v>21</v>
      </c>
      <c r="P112" s="3">
        <v>192</v>
      </c>
      <c r="Q112" s="4">
        <v>69</v>
      </c>
    </row>
    <row r="113" spans="1:17" x14ac:dyDescent="0.25">
      <c r="A113">
        <v>113</v>
      </c>
      <c r="B113" t="s">
        <v>6</v>
      </c>
      <c r="C113">
        <v>38</v>
      </c>
      <c r="D113">
        <v>64</v>
      </c>
      <c r="E113">
        <v>42</v>
      </c>
      <c r="F113" t="s">
        <v>22</v>
      </c>
      <c r="P113" s="3">
        <v>194</v>
      </c>
      <c r="Q113" s="4">
        <v>91</v>
      </c>
    </row>
    <row r="114" spans="1:17" x14ac:dyDescent="0.25">
      <c r="A114">
        <v>122</v>
      </c>
      <c r="B114" t="s">
        <v>6</v>
      </c>
      <c r="C114">
        <v>38</v>
      </c>
      <c r="D114">
        <v>67</v>
      </c>
      <c r="E114">
        <v>40</v>
      </c>
      <c r="F114" t="s">
        <v>22</v>
      </c>
      <c r="P114" s="3">
        <v>195</v>
      </c>
      <c r="Q114" s="4">
        <v>16</v>
      </c>
    </row>
    <row r="115" spans="1:17" x14ac:dyDescent="0.25">
      <c r="A115">
        <v>130</v>
      </c>
      <c r="B115" t="s">
        <v>5</v>
      </c>
      <c r="C115">
        <v>38</v>
      </c>
      <c r="D115">
        <v>71</v>
      </c>
      <c r="E115">
        <v>75</v>
      </c>
      <c r="F115" t="s">
        <v>21</v>
      </c>
      <c r="P115" s="3">
        <v>196</v>
      </c>
      <c r="Q115" s="4">
        <v>79</v>
      </c>
    </row>
    <row r="116" spans="1:17" x14ac:dyDescent="0.25">
      <c r="A116">
        <v>154</v>
      </c>
      <c r="B116" t="s">
        <v>6</v>
      </c>
      <c r="C116">
        <v>38</v>
      </c>
      <c r="D116">
        <v>78</v>
      </c>
      <c r="E116">
        <v>76</v>
      </c>
      <c r="F116" t="s">
        <v>22</v>
      </c>
      <c r="P116" s="3">
        <v>197</v>
      </c>
      <c r="Q116" s="4">
        <v>28</v>
      </c>
    </row>
    <row r="117" spans="1:17" x14ac:dyDescent="0.25">
      <c r="A117">
        <v>194</v>
      </c>
      <c r="B117" t="s">
        <v>6</v>
      </c>
      <c r="C117">
        <v>38</v>
      </c>
      <c r="D117">
        <v>113</v>
      </c>
      <c r="E117">
        <v>91</v>
      </c>
      <c r="F117" t="s">
        <v>22</v>
      </c>
      <c r="P117" s="3" t="s">
        <v>10</v>
      </c>
      <c r="Q117" s="4">
        <v>5771</v>
      </c>
    </row>
    <row r="118" spans="1:17" x14ac:dyDescent="0.25">
      <c r="A118">
        <v>124</v>
      </c>
      <c r="B118" t="s">
        <v>5</v>
      </c>
      <c r="C118">
        <v>39</v>
      </c>
      <c r="D118">
        <v>69</v>
      </c>
      <c r="E118">
        <v>91</v>
      </c>
      <c r="F118" t="s">
        <v>21</v>
      </c>
    </row>
    <row r="119" spans="1:17" x14ac:dyDescent="0.25">
      <c r="A119">
        <v>132</v>
      </c>
      <c r="B119" t="s">
        <v>5</v>
      </c>
      <c r="C119">
        <v>39</v>
      </c>
      <c r="D119">
        <v>71</v>
      </c>
      <c r="E119">
        <v>75</v>
      </c>
      <c r="F119" t="s">
        <v>21</v>
      </c>
    </row>
    <row r="120" spans="1:17" x14ac:dyDescent="0.25">
      <c r="A120">
        <v>152</v>
      </c>
      <c r="B120" t="s">
        <v>5</v>
      </c>
      <c r="C120">
        <v>39</v>
      </c>
      <c r="D120">
        <v>78</v>
      </c>
      <c r="E120">
        <v>88</v>
      </c>
      <c r="F120" t="s">
        <v>21</v>
      </c>
    </row>
    <row r="121" spans="1:17" x14ac:dyDescent="0.25">
      <c r="A121">
        <v>29</v>
      </c>
      <c r="B121" t="s">
        <v>6</v>
      </c>
      <c r="C121">
        <v>40</v>
      </c>
      <c r="D121">
        <v>29</v>
      </c>
      <c r="E121">
        <v>31</v>
      </c>
      <c r="F121" t="s">
        <v>22</v>
      </c>
    </row>
    <row r="122" spans="1:17" x14ac:dyDescent="0.25">
      <c r="A122">
        <v>78</v>
      </c>
      <c r="B122" t="s">
        <v>5</v>
      </c>
      <c r="C122">
        <v>40</v>
      </c>
      <c r="D122">
        <v>54</v>
      </c>
      <c r="E122">
        <v>48</v>
      </c>
      <c r="F122" t="s">
        <v>21</v>
      </c>
    </row>
    <row r="123" spans="1:17" x14ac:dyDescent="0.25">
      <c r="A123">
        <v>94</v>
      </c>
      <c r="B123" t="s">
        <v>6</v>
      </c>
      <c r="C123">
        <v>40</v>
      </c>
      <c r="D123">
        <v>60</v>
      </c>
      <c r="E123">
        <v>40</v>
      </c>
      <c r="F123" t="s">
        <v>22</v>
      </c>
    </row>
    <row r="124" spans="1:17" x14ac:dyDescent="0.25">
      <c r="A124">
        <v>123</v>
      </c>
      <c r="B124" t="s">
        <v>6</v>
      </c>
      <c r="C124">
        <v>40</v>
      </c>
      <c r="D124">
        <v>69</v>
      </c>
      <c r="E124">
        <v>58</v>
      </c>
      <c r="F124" t="s">
        <v>22</v>
      </c>
    </row>
    <row r="125" spans="1:17" x14ac:dyDescent="0.25">
      <c r="A125">
        <v>128</v>
      </c>
      <c r="B125" t="s">
        <v>5</v>
      </c>
      <c r="C125">
        <v>40</v>
      </c>
      <c r="D125">
        <v>71</v>
      </c>
      <c r="E125">
        <v>95</v>
      </c>
      <c r="F125" t="s">
        <v>21</v>
      </c>
    </row>
    <row r="126" spans="1:17" x14ac:dyDescent="0.25">
      <c r="A126">
        <v>171</v>
      </c>
      <c r="B126" t="s">
        <v>5</v>
      </c>
      <c r="C126">
        <v>40</v>
      </c>
      <c r="D126">
        <v>87</v>
      </c>
      <c r="E126">
        <v>13</v>
      </c>
      <c r="F126" t="s">
        <v>21</v>
      </c>
    </row>
    <row r="127" spans="1:17" x14ac:dyDescent="0.25">
      <c r="A127">
        <v>185</v>
      </c>
      <c r="B127" t="s">
        <v>6</v>
      </c>
      <c r="C127">
        <v>41</v>
      </c>
      <c r="D127">
        <v>99</v>
      </c>
      <c r="E127">
        <v>39</v>
      </c>
      <c r="F127" t="s">
        <v>22</v>
      </c>
    </row>
    <row r="128" spans="1:17" x14ac:dyDescent="0.25">
      <c r="A128">
        <v>189</v>
      </c>
      <c r="B128" t="s">
        <v>6</v>
      </c>
      <c r="C128">
        <v>41</v>
      </c>
      <c r="D128">
        <v>103</v>
      </c>
      <c r="E128">
        <v>17</v>
      </c>
      <c r="F128" t="s">
        <v>22</v>
      </c>
    </row>
    <row r="129" spans="1:6" x14ac:dyDescent="0.25">
      <c r="A129">
        <v>37</v>
      </c>
      <c r="B129" t="s">
        <v>6</v>
      </c>
      <c r="C129">
        <v>42</v>
      </c>
      <c r="D129">
        <v>34</v>
      </c>
      <c r="E129">
        <v>17</v>
      </c>
      <c r="F129" t="s">
        <v>22</v>
      </c>
    </row>
    <row r="130" spans="1:6" x14ac:dyDescent="0.25">
      <c r="A130">
        <v>167</v>
      </c>
      <c r="B130" t="s">
        <v>5</v>
      </c>
      <c r="C130">
        <v>42</v>
      </c>
      <c r="D130">
        <v>86</v>
      </c>
      <c r="E130">
        <v>20</v>
      </c>
      <c r="F130" t="s">
        <v>21</v>
      </c>
    </row>
    <row r="131" spans="1:6" x14ac:dyDescent="0.25">
      <c r="A131">
        <v>67</v>
      </c>
      <c r="B131" t="s">
        <v>6</v>
      </c>
      <c r="C131">
        <v>43</v>
      </c>
      <c r="D131">
        <v>48</v>
      </c>
      <c r="E131">
        <v>50</v>
      </c>
      <c r="F131" t="s">
        <v>22</v>
      </c>
    </row>
    <row r="132" spans="1:6" x14ac:dyDescent="0.25">
      <c r="A132">
        <v>127</v>
      </c>
      <c r="B132" t="s">
        <v>5</v>
      </c>
      <c r="C132">
        <v>43</v>
      </c>
      <c r="D132">
        <v>71</v>
      </c>
      <c r="E132">
        <v>35</v>
      </c>
      <c r="F132" t="s">
        <v>21</v>
      </c>
    </row>
    <row r="133" spans="1:6" x14ac:dyDescent="0.25">
      <c r="A133">
        <v>151</v>
      </c>
      <c r="B133" t="s">
        <v>5</v>
      </c>
      <c r="C133">
        <v>43</v>
      </c>
      <c r="D133">
        <v>78</v>
      </c>
      <c r="E133">
        <v>17</v>
      </c>
      <c r="F133" t="s">
        <v>21</v>
      </c>
    </row>
    <row r="134" spans="1:6" x14ac:dyDescent="0.25">
      <c r="A134">
        <v>137</v>
      </c>
      <c r="B134" t="s">
        <v>6</v>
      </c>
      <c r="C134">
        <v>44</v>
      </c>
      <c r="D134">
        <v>73</v>
      </c>
      <c r="E134">
        <v>7</v>
      </c>
      <c r="F134" t="s">
        <v>22</v>
      </c>
    </row>
    <row r="135" spans="1:6" x14ac:dyDescent="0.25">
      <c r="A135">
        <v>153</v>
      </c>
      <c r="B135" t="s">
        <v>6</v>
      </c>
      <c r="C135">
        <v>44</v>
      </c>
      <c r="D135">
        <v>78</v>
      </c>
      <c r="E135">
        <v>20</v>
      </c>
      <c r="F135" t="s">
        <v>22</v>
      </c>
    </row>
    <row r="136" spans="1:6" x14ac:dyDescent="0.25">
      <c r="A136">
        <v>27</v>
      </c>
      <c r="B136" t="s">
        <v>6</v>
      </c>
      <c r="C136">
        <v>45</v>
      </c>
      <c r="D136">
        <v>28</v>
      </c>
      <c r="E136">
        <v>32</v>
      </c>
      <c r="F136" t="s">
        <v>22</v>
      </c>
    </row>
    <row r="137" spans="1:6" x14ac:dyDescent="0.25">
      <c r="A137">
        <v>77</v>
      </c>
      <c r="B137" t="s">
        <v>6</v>
      </c>
      <c r="C137">
        <v>45</v>
      </c>
      <c r="D137">
        <v>54</v>
      </c>
      <c r="E137">
        <v>53</v>
      </c>
      <c r="F137" t="s">
        <v>22</v>
      </c>
    </row>
    <row r="138" spans="1:6" x14ac:dyDescent="0.25">
      <c r="A138">
        <v>197</v>
      </c>
      <c r="B138" t="s">
        <v>6</v>
      </c>
      <c r="C138">
        <v>45</v>
      </c>
      <c r="D138">
        <v>126</v>
      </c>
      <c r="E138">
        <v>28</v>
      </c>
      <c r="F138" t="s">
        <v>22</v>
      </c>
    </row>
    <row r="139" spans="1:6" x14ac:dyDescent="0.25">
      <c r="A139">
        <v>23</v>
      </c>
      <c r="B139" t="s">
        <v>6</v>
      </c>
      <c r="C139">
        <v>46</v>
      </c>
      <c r="D139">
        <v>25</v>
      </c>
      <c r="E139">
        <v>5</v>
      </c>
      <c r="F139" t="s">
        <v>22</v>
      </c>
    </row>
    <row r="140" spans="1:6" x14ac:dyDescent="0.25">
      <c r="A140">
        <v>84</v>
      </c>
      <c r="B140" t="s">
        <v>6</v>
      </c>
      <c r="C140">
        <v>46</v>
      </c>
      <c r="D140">
        <v>54</v>
      </c>
      <c r="E140">
        <v>44</v>
      </c>
      <c r="F140" t="s">
        <v>22</v>
      </c>
    </row>
    <row r="141" spans="1:6" x14ac:dyDescent="0.25">
      <c r="A141">
        <v>183</v>
      </c>
      <c r="B141" t="s">
        <v>5</v>
      </c>
      <c r="C141">
        <v>46</v>
      </c>
      <c r="D141">
        <v>98</v>
      </c>
      <c r="E141">
        <v>15</v>
      </c>
      <c r="F141" t="s">
        <v>21</v>
      </c>
    </row>
    <row r="142" spans="1:6" x14ac:dyDescent="0.25">
      <c r="A142">
        <v>56</v>
      </c>
      <c r="B142" t="s">
        <v>5</v>
      </c>
      <c r="C142">
        <v>47</v>
      </c>
      <c r="D142">
        <v>43</v>
      </c>
      <c r="E142">
        <v>41</v>
      </c>
      <c r="F142" t="s">
        <v>21</v>
      </c>
    </row>
    <row r="143" spans="1:6" x14ac:dyDescent="0.25">
      <c r="A143">
        <v>72</v>
      </c>
      <c r="B143" t="s">
        <v>6</v>
      </c>
      <c r="C143">
        <v>47</v>
      </c>
      <c r="D143">
        <v>49</v>
      </c>
      <c r="E143">
        <v>42</v>
      </c>
      <c r="F143" t="s">
        <v>22</v>
      </c>
    </row>
    <row r="144" spans="1:6" x14ac:dyDescent="0.25">
      <c r="A144">
        <v>97</v>
      </c>
      <c r="B144" t="s">
        <v>6</v>
      </c>
      <c r="C144">
        <v>47</v>
      </c>
      <c r="D144">
        <v>60</v>
      </c>
      <c r="E144">
        <v>47</v>
      </c>
      <c r="F144" t="s">
        <v>22</v>
      </c>
    </row>
    <row r="145" spans="1:6" x14ac:dyDescent="0.25">
      <c r="A145">
        <v>131</v>
      </c>
      <c r="B145" t="s">
        <v>5</v>
      </c>
      <c r="C145">
        <v>47</v>
      </c>
      <c r="D145">
        <v>71</v>
      </c>
      <c r="E145">
        <v>9</v>
      </c>
      <c r="F145" t="s">
        <v>21</v>
      </c>
    </row>
    <row r="146" spans="1:6" x14ac:dyDescent="0.25">
      <c r="A146">
        <v>155</v>
      </c>
      <c r="B146" t="s">
        <v>6</v>
      </c>
      <c r="C146">
        <v>47</v>
      </c>
      <c r="D146">
        <v>78</v>
      </c>
      <c r="E146">
        <v>16</v>
      </c>
      <c r="F146" t="s">
        <v>22</v>
      </c>
    </row>
    <row r="147" spans="1:6" x14ac:dyDescent="0.25">
      <c r="A147">
        <v>195</v>
      </c>
      <c r="B147" t="s">
        <v>6</v>
      </c>
      <c r="C147">
        <v>47</v>
      </c>
      <c r="D147">
        <v>120</v>
      </c>
      <c r="E147">
        <v>16</v>
      </c>
      <c r="F147" t="s">
        <v>22</v>
      </c>
    </row>
    <row r="148" spans="1:6" x14ac:dyDescent="0.25">
      <c r="A148">
        <v>43</v>
      </c>
      <c r="B148" t="s">
        <v>5</v>
      </c>
      <c r="C148">
        <v>48</v>
      </c>
      <c r="D148">
        <v>39</v>
      </c>
      <c r="E148">
        <v>36</v>
      </c>
      <c r="F148" t="s">
        <v>21</v>
      </c>
    </row>
    <row r="149" spans="1:6" x14ac:dyDescent="0.25">
      <c r="A149">
        <v>86</v>
      </c>
      <c r="B149" t="s">
        <v>5</v>
      </c>
      <c r="C149">
        <v>48</v>
      </c>
      <c r="D149">
        <v>54</v>
      </c>
      <c r="E149">
        <v>46</v>
      </c>
      <c r="F149" t="s">
        <v>21</v>
      </c>
    </row>
    <row r="150" spans="1:6" x14ac:dyDescent="0.25">
      <c r="A150">
        <v>93</v>
      </c>
      <c r="B150" t="s">
        <v>5</v>
      </c>
      <c r="C150">
        <v>48</v>
      </c>
      <c r="D150">
        <v>60</v>
      </c>
      <c r="E150">
        <v>49</v>
      </c>
      <c r="F150" t="s">
        <v>21</v>
      </c>
    </row>
    <row r="151" spans="1:6" x14ac:dyDescent="0.25">
      <c r="A151">
        <v>99</v>
      </c>
      <c r="B151" t="s">
        <v>5</v>
      </c>
      <c r="C151">
        <v>48</v>
      </c>
      <c r="D151">
        <v>61</v>
      </c>
      <c r="E151">
        <v>42</v>
      </c>
      <c r="F151" t="s">
        <v>21</v>
      </c>
    </row>
    <row r="152" spans="1:6" x14ac:dyDescent="0.25">
      <c r="A152">
        <v>147</v>
      </c>
      <c r="B152" t="s">
        <v>5</v>
      </c>
      <c r="C152">
        <v>48</v>
      </c>
      <c r="D152">
        <v>77</v>
      </c>
      <c r="E152">
        <v>36</v>
      </c>
      <c r="F152" t="s">
        <v>21</v>
      </c>
    </row>
    <row r="153" spans="1:6" x14ac:dyDescent="0.25">
      <c r="A153">
        <v>35</v>
      </c>
      <c r="B153" t="s">
        <v>6</v>
      </c>
      <c r="C153">
        <v>49</v>
      </c>
      <c r="D153">
        <v>33</v>
      </c>
      <c r="E153">
        <v>14</v>
      </c>
      <c r="F153" t="s">
        <v>22</v>
      </c>
    </row>
    <row r="154" spans="1:6" x14ac:dyDescent="0.25">
      <c r="A154">
        <v>45</v>
      </c>
      <c r="B154" t="s">
        <v>6</v>
      </c>
      <c r="C154">
        <v>49</v>
      </c>
      <c r="D154">
        <v>39</v>
      </c>
      <c r="E154">
        <v>28</v>
      </c>
      <c r="F154" t="s">
        <v>22</v>
      </c>
    </row>
    <row r="155" spans="1:6" x14ac:dyDescent="0.25">
      <c r="A155">
        <v>51</v>
      </c>
      <c r="B155" t="s">
        <v>6</v>
      </c>
      <c r="C155">
        <v>49</v>
      </c>
      <c r="D155">
        <v>42</v>
      </c>
      <c r="E155">
        <v>52</v>
      </c>
      <c r="F155" t="s">
        <v>22</v>
      </c>
    </row>
    <row r="156" spans="1:6" x14ac:dyDescent="0.25">
      <c r="A156">
        <v>80</v>
      </c>
      <c r="B156" t="s">
        <v>6</v>
      </c>
      <c r="C156">
        <v>49</v>
      </c>
      <c r="D156">
        <v>54</v>
      </c>
      <c r="E156">
        <v>42</v>
      </c>
      <c r="F156" t="s">
        <v>22</v>
      </c>
    </row>
    <row r="157" spans="1:6" x14ac:dyDescent="0.25">
      <c r="A157">
        <v>102</v>
      </c>
      <c r="B157" t="s">
        <v>6</v>
      </c>
      <c r="C157">
        <v>49</v>
      </c>
      <c r="D157">
        <v>62</v>
      </c>
      <c r="E157">
        <v>48</v>
      </c>
      <c r="F157" t="s">
        <v>22</v>
      </c>
    </row>
    <row r="158" spans="1:6" x14ac:dyDescent="0.25">
      <c r="A158">
        <v>105</v>
      </c>
      <c r="B158" t="s">
        <v>5</v>
      </c>
      <c r="C158">
        <v>49</v>
      </c>
      <c r="D158">
        <v>62</v>
      </c>
      <c r="E158">
        <v>56</v>
      </c>
      <c r="F158" t="s">
        <v>21</v>
      </c>
    </row>
    <row r="159" spans="1:6" x14ac:dyDescent="0.25">
      <c r="A159">
        <v>118</v>
      </c>
      <c r="B159" t="s">
        <v>6</v>
      </c>
      <c r="C159">
        <v>49</v>
      </c>
      <c r="D159">
        <v>65</v>
      </c>
      <c r="E159">
        <v>59</v>
      </c>
      <c r="F159" t="s">
        <v>22</v>
      </c>
    </row>
    <row r="160" spans="1:6" x14ac:dyDescent="0.25">
      <c r="A160">
        <v>47</v>
      </c>
      <c r="B160" t="s">
        <v>6</v>
      </c>
      <c r="C160">
        <v>50</v>
      </c>
      <c r="D160">
        <v>40</v>
      </c>
      <c r="E160">
        <v>55</v>
      </c>
      <c r="F160" t="s">
        <v>22</v>
      </c>
    </row>
    <row r="161" spans="1:6" x14ac:dyDescent="0.25">
      <c r="A161">
        <v>55</v>
      </c>
      <c r="B161" t="s">
        <v>6</v>
      </c>
      <c r="C161">
        <v>50</v>
      </c>
      <c r="D161">
        <v>43</v>
      </c>
      <c r="E161">
        <v>45</v>
      </c>
      <c r="F161" t="s">
        <v>22</v>
      </c>
    </row>
    <row r="162" spans="1:6" x14ac:dyDescent="0.25">
      <c r="A162">
        <v>90</v>
      </c>
      <c r="B162" t="s">
        <v>6</v>
      </c>
      <c r="C162">
        <v>50</v>
      </c>
      <c r="D162">
        <v>58</v>
      </c>
      <c r="E162">
        <v>46</v>
      </c>
      <c r="F162" t="s">
        <v>22</v>
      </c>
    </row>
    <row r="163" spans="1:6" x14ac:dyDescent="0.25">
      <c r="A163">
        <v>120</v>
      </c>
      <c r="B163" t="s">
        <v>6</v>
      </c>
      <c r="C163">
        <v>50</v>
      </c>
      <c r="D163">
        <v>67</v>
      </c>
      <c r="E163">
        <v>57</v>
      </c>
      <c r="F163" t="s">
        <v>22</v>
      </c>
    </row>
    <row r="164" spans="1:6" x14ac:dyDescent="0.25">
      <c r="A164">
        <v>165</v>
      </c>
      <c r="B164" t="s">
        <v>5</v>
      </c>
      <c r="C164">
        <v>50</v>
      </c>
      <c r="D164">
        <v>85</v>
      </c>
      <c r="E164">
        <v>26</v>
      </c>
      <c r="F164" t="s">
        <v>21</v>
      </c>
    </row>
    <row r="165" spans="1:6" x14ac:dyDescent="0.25">
      <c r="A165">
        <v>57</v>
      </c>
      <c r="B165" t="s">
        <v>6</v>
      </c>
      <c r="C165">
        <v>51</v>
      </c>
      <c r="D165">
        <v>44</v>
      </c>
      <c r="E165">
        <v>50</v>
      </c>
      <c r="F165" t="s">
        <v>22</v>
      </c>
    </row>
    <row r="166" spans="1:6" x14ac:dyDescent="0.25">
      <c r="A166">
        <v>119</v>
      </c>
      <c r="B166" t="s">
        <v>6</v>
      </c>
      <c r="C166">
        <v>51</v>
      </c>
      <c r="D166">
        <v>67</v>
      </c>
      <c r="E166">
        <v>43</v>
      </c>
      <c r="F166" t="s">
        <v>22</v>
      </c>
    </row>
    <row r="167" spans="1:6" x14ac:dyDescent="0.25">
      <c r="A167">
        <v>19</v>
      </c>
      <c r="B167" t="s">
        <v>5</v>
      </c>
      <c r="C167">
        <v>52</v>
      </c>
      <c r="D167">
        <v>23</v>
      </c>
      <c r="E167">
        <v>29</v>
      </c>
      <c r="F167" t="s">
        <v>21</v>
      </c>
    </row>
    <row r="168" spans="1:6" x14ac:dyDescent="0.25">
      <c r="A168">
        <v>175</v>
      </c>
      <c r="B168" t="s">
        <v>6</v>
      </c>
      <c r="C168">
        <v>52</v>
      </c>
      <c r="D168">
        <v>88</v>
      </c>
      <c r="E168">
        <v>13</v>
      </c>
      <c r="F168" t="s">
        <v>22</v>
      </c>
    </row>
    <row r="169" spans="1:6" x14ac:dyDescent="0.25">
      <c r="A169">
        <v>33</v>
      </c>
      <c r="B169" t="s">
        <v>5</v>
      </c>
      <c r="C169">
        <v>53</v>
      </c>
      <c r="D169">
        <v>33</v>
      </c>
      <c r="E169">
        <v>4</v>
      </c>
      <c r="F169" t="s">
        <v>21</v>
      </c>
    </row>
    <row r="170" spans="1:6" x14ac:dyDescent="0.25">
      <c r="A170">
        <v>60</v>
      </c>
      <c r="B170" t="s">
        <v>5</v>
      </c>
      <c r="C170">
        <v>53</v>
      </c>
      <c r="D170">
        <v>46</v>
      </c>
      <c r="E170">
        <v>46</v>
      </c>
      <c r="F170" t="s">
        <v>21</v>
      </c>
    </row>
    <row r="171" spans="1:6" x14ac:dyDescent="0.25">
      <c r="A171">
        <v>25</v>
      </c>
      <c r="B171" t="s">
        <v>6</v>
      </c>
      <c r="C171">
        <v>54</v>
      </c>
      <c r="D171">
        <v>28</v>
      </c>
      <c r="E171">
        <v>14</v>
      </c>
      <c r="F171" t="s">
        <v>22</v>
      </c>
    </row>
    <row r="172" spans="1:6" x14ac:dyDescent="0.25">
      <c r="A172">
        <v>64</v>
      </c>
      <c r="B172" t="s">
        <v>6</v>
      </c>
      <c r="C172">
        <v>54</v>
      </c>
      <c r="D172">
        <v>47</v>
      </c>
      <c r="E172">
        <v>59</v>
      </c>
      <c r="F172" t="s">
        <v>22</v>
      </c>
    </row>
    <row r="173" spans="1:6" x14ac:dyDescent="0.25">
      <c r="A173">
        <v>108</v>
      </c>
      <c r="B173" t="s">
        <v>5</v>
      </c>
      <c r="C173">
        <v>54</v>
      </c>
      <c r="D173">
        <v>63</v>
      </c>
      <c r="E173">
        <v>46</v>
      </c>
      <c r="F173" t="s">
        <v>21</v>
      </c>
    </row>
    <row r="174" spans="1:6" x14ac:dyDescent="0.25">
      <c r="A174">
        <v>187</v>
      </c>
      <c r="B174" t="s">
        <v>6</v>
      </c>
      <c r="C174">
        <v>54</v>
      </c>
      <c r="D174">
        <v>101</v>
      </c>
      <c r="E174">
        <v>24</v>
      </c>
      <c r="F174" t="s">
        <v>22</v>
      </c>
    </row>
    <row r="175" spans="1:6" x14ac:dyDescent="0.25">
      <c r="A175">
        <v>87</v>
      </c>
      <c r="B175" t="s">
        <v>6</v>
      </c>
      <c r="C175">
        <v>55</v>
      </c>
      <c r="D175">
        <v>57</v>
      </c>
      <c r="E175">
        <v>58</v>
      </c>
      <c r="F175" t="s">
        <v>22</v>
      </c>
    </row>
    <row r="176" spans="1:6" x14ac:dyDescent="0.25">
      <c r="A176">
        <v>161</v>
      </c>
      <c r="B176" t="s">
        <v>6</v>
      </c>
      <c r="C176">
        <v>56</v>
      </c>
      <c r="D176">
        <v>79</v>
      </c>
      <c r="E176">
        <v>35</v>
      </c>
      <c r="F176" t="s">
        <v>22</v>
      </c>
    </row>
    <row r="177" spans="1:6" x14ac:dyDescent="0.25">
      <c r="A177">
        <v>81</v>
      </c>
      <c r="B177" t="s">
        <v>5</v>
      </c>
      <c r="C177">
        <v>57</v>
      </c>
      <c r="D177">
        <v>54</v>
      </c>
      <c r="E177">
        <v>51</v>
      </c>
      <c r="F177" t="s">
        <v>21</v>
      </c>
    </row>
    <row r="178" spans="1:6" x14ac:dyDescent="0.25">
      <c r="A178">
        <v>141</v>
      </c>
      <c r="B178" t="s">
        <v>6</v>
      </c>
      <c r="C178">
        <v>57</v>
      </c>
      <c r="D178">
        <v>75</v>
      </c>
      <c r="E178">
        <v>5</v>
      </c>
      <c r="F178" t="s">
        <v>22</v>
      </c>
    </row>
    <row r="179" spans="1:6" x14ac:dyDescent="0.25">
      <c r="A179">
        <v>13</v>
      </c>
      <c r="B179" t="s">
        <v>6</v>
      </c>
      <c r="C179">
        <v>58</v>
      </c>
      <c r="D179">
        <v>20</v>
      </c>
      <c r="E179">
        <v>15</v>
      </c>
      <c r="F179" t="s">
        <v>22</v>
      </c>
    </row>
    <row r="180" spans="1:6" x14ac:dyDescent="0.25">
      <c r="A180">
        <v>177</v>
      </c>
      <c r="B180" t="s">
        <v>5</v>
      </c>
      <c r="C180">
        <v>58</v>
      </c>
      <c r="D180">
        <v>88</v>
      </c>
      <c r="E180">
        <v>15</v>
      </c>
      <c r="F180" t="s">
        <v>21</v>
      </c>
    </row>
    <row r="181" spans="1:6" x14ac:dyDescent="0.25">
      <c r="A181">
        <v>54</v>
      </c>
      <c r="B181" t="s">
        <v>5</v>
      </c>
      <c r="C181">
        <v>59</v>
      </c>
      <c r="D181">
        <v>43</v>
      </c>
      <c r="E181">
        <v>60</v>
      </c>
      <c r="F181" t="s">
        <v>21</v>
      </c>
    </row>
    <row r="182" spans="1:6" x14ac:dyDescent="0.25">
      <c r="A182">
        <v>75</v>
      </c>
      <c r="B182" t="s">
        <v>5</v>
      </c>
      <c r="C182">
        <v>59</v>
      </c>
      <c r="D182">
        <v>54</v>
      </c>
      <c r="E182">
        <v>47</v>
      </c>
      <c r="F182" t="s">
        <v>21</v>
      </c>
    </row>
    <row r="183" spans="1:6" x14ac:dyDescent="0.25">
      <c r="A183">
        <v>129</v>
      </c>
      <c r="B183" t="s">
        <v>5</v>
      </c>
      <c r="C183">
        <v>59</v>
      </c>
      <c r="D183">
        <v>71</v>
      </c>
      <c r="E183">
        <v>11</v>
      </c>
      <c r="F183" t="s">
        <v>21</v>
      </c>
    </row>
    <row r="184" spans="1:6" x14ac:dyDescent="0.25">
      <c r="A184">
        <v>179</v>
      </c>
      <c r="B184" t="s">
        <v>5</v>
      </c>
      <c r="C184">
        <v>59</v>
      </c>
      <c r="D184">
        <v>93</v>
      </c>
      <c r="E184">
        <v>14</v>
      </c>
      <c r="F184" t="s">
        <v>21</v>
      </c>
    </row>
    <row r="185" spans="1:6" x14ac:dyDescent="0.25">
      <c r="A185">
        <v>31</v>
      </c>
      <c r="B185" t="s">
        <v>5</v>
      </c>
      <c r="C185">
        <v>60</v>
      </c>
      <c r="D185">
        <v>30</v>
      </c>
      <c r="E185">
        <v>4</v>
      </c>
      <c r="F185" t="s">
        <v>21</v>
      </c>
    </row>
    <row r="186" spans="1:6" x14ac:dyDescent="0.25">
      <c r="A186">
        <v>73</v>
      </c>
      <c r="B186" t="s">
        <v>6</v>
      </c>
      <c r="C186">
        <v>60</v>
      </c>
      <c r="D186">
        <v>50</v>
      </c>
      <c r="E186">
        <v>49</v>
      </c>
      <c r="F186" t="s">
        <v>22</v>
      </c>
    </row>
    <row r="187" spans="1:6" x14ac:dyDescent="0.25">
      <c r="A187">
        <v>74</v>
      </c>
      <c r="B187" t="s">
        <v>6</v>
      </c>
      <c r="C187">
        <v>60</v>
      </c>
      <c r="D187">
        <v>50</v>
      </c>
      <c r="E187">
        <v>56</v>
      </c>
      <c r="F187" t="s">
        <v>22</v>
      </c>
    </row>
    <row r="188" spans="1:6" x14ac:dyDescent="0.25">
      <c r="A188">
        <v>65</v>
      </c>
      <c r="B188" t="s">
        <v>5</v>
      </c>
      <c r="C188">
        <v>63</v>
      </c>
      <c r="D188">
        <v>48</v>
      </c>
      <c r="E188">
        <v>51</v>
      </c>
      <c r="F188" t="s">
        <v>21</v>
      </c>
    </row>
    <row r="189" spans="1:6" x14ac:dyDescent="0.25">
      <c r="A189">
        <v>117</v>
      </c>
      <c r="B189" t="s">
        <v>6</v>
      </c>
      <c r="C189">
        <v>63</v>
      </c>
      <c r="D189">
        <v>65</v>
      </c>
      <c r="E189">
        <v>43</v>
      </c>
      <c r="F189" t="s">
        <v>22</v>
      </c>
    </row>
    <row r="190" spans="1:6" x14ac:dyDescent="0.25">
      <c r="A190">
        <v>9</v>
      </c>
      <c r="B190" t="s">
        <v>5</v>
      </c>
      <c r="C190">
        <v>64</v>
      </c>
      <c r="D190">
        <v>19</v>
      </c>
      <c r="E190">
        <v>3</v>
      </c>
      <c r="F190" t="s">
        <v>21</v>
      </c>
    </row>
    <row r="191" spans="1:6" x14ac:dyDescent="0.25">
      <c r="A191">
        <v>41</v>
      </c>
      <c r="B191" t="s">
        <v>6</v>
      </c>
      <c r="C191">
        <v>65</v>
      </c>
      <c r="D191">
        <v>38</v>
      </c>
      <c r="E191">
        <v>35</v>
      </c>
      <c r="F191" t="s">
        <v>22</v>
      </c>
    </row>
    <row r="192" spans="1:6" x14ac:dyDescent="0.25">
      <c r="A192">
        <v>111</v>
      </c>
      <c r="B192" t="s">
        <v>5</v>
      </c>
      <c r="C192">
        <v>65</v>
      </c>
      <c r="D192">
        <v>63</v>
      </c>
      <c r="E192">
        <v>52</v>
      </c>
      <c r="F192" t="s">
        <v>21</v>
      </c>
    </row>
    <row r="193" spans="1:6" x14ac:dyDescent="0.25">
      <c r="A193">
        <v>107</v>
      </c>
      <c r="B193" t="s">
        <v>6</v>
      </c>
      <c r="C193">
        <v>66</v>
      </c>
      <c r="D193">
        <v>63</v>
      </c>
      <c r="E193">
        <v>50</v>
      </c>
      <c r="F193" t="s">
        <v>22</v>
      </c>
    </row>
    <row r="194" spans="1:6" x14ac:dyDescent="0.25">
      <c r="A194">
        <v>110</v>
      </c>
      <c r="B194" t="s">
        <v>5</v>
      </c>
      <c r="C194">
        <v>66</v>
      </c>
      <c r="D194">
        <v>63</v>
      </c>
      <c r="E194">
        <v>48</v>
      </c>
      <c r="F194" t="s">
        <v>21</v>
      </c>
    </row>
    <row r="195" spans="1:6" x14ac:dyDescent="0.25">
      <c r="A195">
        <v>11</v>
      </c>
      <c r="B195" t="s">
        <v>5</v>
      </c>
      <c r="C195">
        <v>67</v>
      </c>
      <c r="D195">
        <v>19</v>
      </c>
      <c r="E195">
        <v>14</v>
      </c>
      <c r="F195" t="s">
        <v>21</v>
      </c>
    </row>
    <row r="196" spans="1:6" x14ac:dyDescent="0.25">
      <c r="A196">
        <v>63</v>
      </c>
      <c r="B196" t="s">
        <v>6</v>
      </c>
      <c r="C196">
        <v>67</v>
      </c>
      <c r="D196">
        <v>47</v>
      </c>
      <c r="E196">
        <v>52</v>
      </c>
      <c r="F196" t="s">
        <v>22</v>
      </c>
    </row>
    <row r="197" spans="1:6" x14ac:dyDescent="0.25">
      <c r="A197">
        <v>83</v>
      </c>
      <c r="B197" t="s">
        <v>5</v>
      </c>
      <c r="C197">
        <v>67</v>
      </c>
      <c r="D197">
        <v>54</v>
      </c>
      <c r="E197">
        <v>41</v>
      </c>
      <c r="F197" t="s">
        <v>21</v>
      </c>
    </row>
    <row r="198" spans="1:6" x14ac:dyDescent="0.25">
      <c r="A198">
        <v>103</v>
      </c>
      <c r="B198" t="s">
        <v>5</v>
      </c>
      <c r="C198">
        <v>67</v>
      </c>
      <c r="D198">
        <v>62</v>
      </c>
      <c r="E198">
        <v>59</v>
      </c>
      <c r="F198" t="s">
        <v>21</v>
      </c>
    </row>
    <row r="199" spans="1:6" x14ac:dyDescent="0.25">
      <c r="A199">
        <v>68</v>
      </c>
      <c r="B199" t="s">
        <v>6</v>
      </c>
      <c r="C199">
        <v>68</v>
      </c>
      <c r="D199">
        <v>48</v>
      </c>
      <c r="E199">
        <v>48</v>
      </c>
      <c r="F199" t="s">
        <v>22</v>
      </c>
    </row>
    <row r="200" spans="1:6" x14ac:dyDescent="0.25">
      <c r="A200">
        <v>91</v>
      </c>
      <c r="B200" t="s">
        <v>6</v>
      </c>
      <c r="C200">
        <v>68</v>
      </c>
      <c r="D200">
        <v>59</v>
      </c>
      <c r="E200">
        <v>55</v>
      </c>
      <c r="F200" t="s">
        <v>22</v>
      </c>
    </row>
    <row r="201" spans="1:6" x14ac:dyDescent="0.25">
      <c r="A201">
        <v>109</v>
      </c>
      <c r="B201" t="s">
        <v>5</v>
      </c>
      <c r="C201">
        <v>68</v>
      </c>
      <c r="D201">
        <v>63</v>
      </c>
      <c r="E201">
        <v>43</v>
      </c>
      <c r="F201" t="s">
        <v>21</v>
      </c>
    </row>
    <row r="202" spans="1:6" x14ac:dyDescent="0.25">
      <c r="A202">
        <v>58</v>
      </c>
      <c r="B202" t="s">
        <v>5</v>
      </c>
      <c r="C202">
        <v>69</v>
      </c>
      <c r="D202">
        <v>44</v>
      </c>
      <c r="E202">
        <v>46</v>
      </c>
      <c r="F202" t="s">
        <v>21</v>
      </c>
    </row>
    <row r="203" spans="1:6" x14ac:dyDescent="0.25">
      <c r="A203">
        <v>61</v>
      </c>
      <c r="B203" t="s">
        <v>5</v>
      </c>
      <c r="C203">
        <v>70</v>
      </c>
      <c r="D203">
        <v>46</v>
      </c>
      <c r="E203">
        <v>56</v>
      </c>
      <c r="F203" t="s">
        <v>21</v>
      </c>
    </row>
    <row r="204" spans="1:6" x14ac:dyDescent="0.25">
      <c r="A204">
        <v>71</v>
      </c>
      <c r="B204" t="s">
        <v>5</v>
      </c>
      <c r="C204">
        <v>70</v>
      </c>
      <c r="D204">
        <v>49</v>
      </c>
      <c r="E204">
        <v>55</v>
      </c>
      <c r="F204" t="s">
        <v>21</v>
      </c>
    </row>
  </sheetData>
  <sortState xmlns:xlrd2="http://schemas.microsoft.com/office/spreadsheetml/2017/richdata2" ref="A5:E204">
    <sortCondition ref="C5:C204"/>
  </sortState>
  <pageMargins left="0.7" right="0.7" top="0.75" bottom="0.75" header="0.3" footer="0.3"/>
  <pageSetup orientation="portrait" horizontalDpi="0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3527-1C53-431D-BD5C-0A135CC2F8F2}">
  <dimension ref="A1:U203"/>
  <sheetViews>
    <sheetView topLeftCell="N1" workbookViewId="0">
      <selection activeCell="O2" sqref="O2"/>
    </sheetView>
  </sheetViews>
  <sheetFormatPr defaultRowHeight="15" x14ac:dyDescent="0.25"/>
  <cols>
    <col min="2" max="2" width="18.42578125" bestFit="1" customWidth="1"/>
    <col min="3" max="3" width="21.5703125" customWidth="1"/>
    <col min="4" max="4" width="21.5703125" bestFit="1" customWidth="1"/>
    <col min="5" max="5" width="21.5703125" customWidth="1"/>
    <col min="9" max="9" width="13.140625" bestFit="1" customWidth="1"/>
    <col min="10" max="10" width="21.5703125" bestFit="1" customWidth="1"/>
    <col min="12" max="12" width="13.140625" bestFit="1" customWidth="1"/>
    <col min="13" max="13" width="21.5703125" bestFit="1" customWidth="1"/>
    <col min="15" max="15" width="29.42578125" customWidth="1"/>
    <col min="16" max="17" width="12" bestFit="1" customWidth="1"/>
    <col min="19" max="19" width="13.85546875" bestFit="1" customWidth="1"/>
    <col min="20" max="21" width="12" bestFit="1" customWidth="1"/>
  </cols>
  <sheetData>
    <row r="1" spans="1:21" x14ac:dyDescent="0.25">
      <c r="A1" s="1" t="s">
        <v>8</v>
      </c>
    </row>
    <row r="2" spans="1:21" ht="28.5" customHeight="1" x14ac:dyDescent="0.25">
      <c r="A2" s="11" t="s">
        <v>7</v>
      </c>
      <c r="B2" s="11"/>
      <c r="C2" s="11"/>
      <c r="D2" s="11"/>
      <c r="E2" s="11"/>
      <c r="I2" s="2" t="s">
        <v>20</v>
      </c>
      <c r="J2" t="s">
        <v>21</v>
      </c>
      <c r="L2" s="2" t="s">
        <v>20</v>
      </c>
      <c r="M2" t="s">
        <v>22</v>
      </c>
      <c r="O2" t="s">
        <v>26</v>
      </c>
    </row>
    <row r="3" spans="1:21" ht="15.75" thickBot="1" x14ac:dyDescent="0.3"/>
    <row r="4" spans="1:21" x14ac:dyDescent="0.25">
      <c r="A4" t="s">
        <v>52</v>
      </c>
      <c r="B4" t="s">
        <v>2</v>
      </c>
      <c r="C4" t="s">
        <v>16</v>
      </c>
      <c r="D4" t="s">
        <v>18</v>
      </c>
      <c r="E4" t="s">
        <v>16</v>
      </c>
      <c r="F4" t="s">
        <v>20</v>
      </c>
      <c r="I4" s="2" t="s">
        <v>9</v>
      </c>
      <c r="J4" t="s">
        <v>23</v>
      </c>
      <c r="L4" s="2" t="s">
        <v>9</v>
      </c>
      <c r="M4" t="s">
        <v>23</v>
      </c>
      <c r="O4" s="9"/>
      <c r="P4" s="9" t="s">
        <v>53</v>
      </c>
      <c r="Q4" s="9" t="s">
        <v>54</v>
      </c>
      <c r="S4" s="9"/>
      <c r="T4" s="9" t="s">
        <v>53</v>
      </c>
      <c r="U4" s="9" t="s">
        <v>54</v>
      </c>
    </row>
    <row r="5" spans="1:21" x14ac:dyDescent="0.25">
      <c r="A5">
        <v>5</v>
      </c>
      <c r="B5">
        <v>31</v>
      </c>
      <c r="C5">
        <v>40</v>
      </c>
      <c r="D5">
        <v>17</v>
      </c>
      <c r="E5">
        <v>40</v>
      </c>
      <c r="F5" t="s">
        <v>21</v>
      </c>
      <c r="I5" s="3">
        <v>5</v>
      </c>
      <c r="J5" s="4">
        <v>40</v>
      </c>
      <c r="L5" s="3">
        <v>185</v>
      </c>
      <c r="M5" s="4">
        <v>39</v>
      </c>
      <c r="O5" s="7" t="s">
        <v>27</v>
      </c>
      <c r="P5" s="7">
        <v>59.895522388059703</v>
      </c>
      <c r="Q5" s="7">
        <v>37.475000000000001</v>
      </c>
      <c r="S5" s="7" t="s">
        <v>27</v>
      </c>
      <c r="T5" s="7">
        <v>59.895522388059703</v>
      </c>
      <c r="U5" s="7">
        <v>37.475000000000001</v>
      </c>
    </row>
    <row r="6" spans="1:21" x14ac:dyDescent="0.25">
      <c r="A6">
        <v>24</v>
      </c>
      <c r="B6">
        <v>31</v>
      </c>
      <c r="C6">
        <v>73</v>
      </c>
      <c r="D6">
        <v>25</v>
      </c>
      <c r="E6">
        <v>73</v>
      </c>
      <c r="F6" t="s">
        <v>21</v>
      </c>
      <c r="I6" s="3">
        <v>24</v>
      </c>
      <c r="J6" s="4">
        <v>73</v>
      </c>
      <c r="L6" s="3">
        <v>189</v>
      </c>
      <c r="M6" s="4">
        <v>17</v>
      </c>
      <c r="O6" s="7" t="s">
        <v>28</v>
      </c>
      <c r="P6" s="7">
        <v>539.64043419267307</v>
      </c>
      <c r="Q6" s="7">
        <v>352.2557692307692</v>
      </c>
      <c r="S6" s="7" t="s">
        <v>28</v>
      </c>
      <c r="T6" s="7">
        <v>539.64043419267307</v>
      </c>
      <c r="U6" s="7">
        <v>352.2557692307692</v>
      </c>
    </row>
    <row r="7" spans="1:21" x14ac:dyDescent="0.25">
      <c r="A7">
        <v>44</v>
      </c>
      <c r="B7">
        <v>31</v>
      </c>
      <c r="C7">
        <v>61</v>
      </c>
      <c r="D7">
        <v>39</v>
      </c>
      <c r="E7">
        <v>61</v>
      </c>
      <c r="F7" t="s">
        <v>21</v>
      </c>
      <c r="I7" s="3">
        <v>44</v>
      </c>
      <c r="J7" s="4">
        <v>61</v>
      </c>
      <c r="L7" s="3">
        <v>37</v>
      </c>
      <c r="M7" s="4">
        <v>17</v>
      </c>
      <c r="O7" s="13" t="s">
        <v>29</v>
      </c>
      <c r="P7" s="13">
        <v>67</v>
      </c>
      <c r="Q7" s="13">
        <v>40</v>
      </c>
      <c r="S7" s="7" t="s">
        <v>29</v>
      </c>
      <c r="T7" s="7">
        <v>67</v>
      </c>
      <c r="U7" s="7">
        <v>40</v>
      </c>
    </row>
    <row r="8" spans="1:21" x14ac:dyDescent="0.25">
      <c r="A8">
        <v>50</v>
      </c>
      <c r="B8">
        <v>31</v>
      </c>
      <c r="C8">
        <v>42</v>
      </c>
      <c r="D8">
        <v>40</v>
      </c>
      <c r="E8">
        <v>42</v>
      </c>
      <c r="F8" t="s">
        <v>21</v>
      </c>
      <c r="I8" s="3">
        <v>50</v>
      </c>
      <c r="J8" s="4">
        <v>42</v>
      </c>
      <c r="L8" s="3">
        <v>167</v>
      </c>
      <c r="M8" s="4">
        <v>20</v>
      </c>
      <c r="O8" s="7" t="s">
        <v>30</v>
      </c>
      <c r="P8" s="7">
        <v>0</v>
      </c>
      <c r="Q8" s="7"/>
      <c r="S8" t="s">
        <v>47</v>
      </c>
      <c r="T8">
        <f>SQRT(T6)/SQRT(T7)</f>
        <v>2.838016003953574</v>
      </c>
      <c r="U8">
        <f>SQRT(U6)/SQRT(U7)</f>
        <v>2.9675569465082265</v>
      </c>
    </row>
    <row r="9" spans="1:21" x14ac:dyDescent="0.25">
      <c r="A9">
        <v>53</v>
      </c>
      <c r="B9">
        <v>31</v>
      </c>
      <c r="C9">
        <v>54</v>
      </c>
      <c r="D9">
        <v>43</v>
      </c>
      <c r="E9">
        <v>54</v>
      </c>
      <c r="F9" t="s">
        <v>21</v>
      </c>
      <c r="I9" s="3">
        <v>53</v>
      </c>
      <c r="J9" s="4">
        <v>54</v>
      </c>
      <c r="L9" s="3">
        <v>67</v>
      </c>
      <c r="M9" s="4">
        <v>50</v>
      </c>
      <c r="O9" s="7" t="s">
        <v>31</v>
      </c>
      <c r="P9" s="7">
        <v>96</v>
      </c>
      <c r="Q9" s="7"/>
      <c r="S9" t="s">
        <v>46</v>
      </c>
      <c r="T9">
        <f>T8*P14</f>
        <v>5.6334172436974974</v>
      </c>
      <c r="U9">
        <f>U8*P14</f>
        <v>5.8905539823683144</v>
      </c>
    </row>
    <row r="10" spans="1:21" x14ac:dyDescent="0.25">
      <c r="A10">
        <v>126</v>
      </c>
      <c r="B10">
        <v>31</v>
      </c>
      <c r="C10">
        <v>77</v>
      </c>
      <c r="D10">
        <v>70</v>
      </c>
      <c r="E10">
        <v>77</v>
      </c>
      <c r="F10" t="s">
        <v>21</v>
      </c>
      <c r="I10" s="3">
        <v>126</v>
      </c>
      <c r="J10" s="4">
        <v>77</v>
      </c>
      <c r="L10" s="3">
        <v>127</v>
      </c>
      <c r="M10" s="4">
        <v>35</v>
      </c>
      <c r="O10" s="7" t="s">
        <v>32</v>
      </c>
      <c r="P10" s="7">
        <v>5.4601874483540733</v>
      </c>
      <c r="Q10" s="7"/>
      <c r="S10" t="s">
        <v>45</v>
      </c>
      <c r="T10">
        <f>T8*P14</f>
        <v>5.6334172436974974</v>
      </c>
      <c r="U10">
        <f>U8*P14</f>
        <v>5.8905539823683144</v>
      </c>
    </row>
    <row r="11" spans="1:21" x14ac:dyDescent="0.25">
      <c r="A11">
        <v>134</v>
      </c>
      <c r="B11">
        <v>31</v>
      </c>
      <c r="C11">
        <v>71</v>
      </c>
      <c r="D11">
        <v>72</v>
      </c>
      <c r="E11">
        <v>71</v>
      </c>
      <c r="F11" t="s">
        <v>21</v>
      </c>
      <c r="I11" s="3">
        <v>134</v>
      </c>
      <c r="J11" s="4">
        <v>71</v>
      </c>
      <c r="L11" s="3">
        <v>151</v>
      </c>
      <c r="M11" s="4">
        <v>17</v>
      </c>
      <c r="O11" s="7" t="s">
        <v>33</v>
      </c>
      <c r="P11" s="7">
        <v>1.8625791072494923E-7</v>
      </c>
      <c r="Q11" s="7"/>
    </row>
    <row r="12" spans="1:21" ht="15.75" thickBot="1" x14ac:dyDescent="0.3">
      <c r="A12">
        <v>164</v>
      </c>
      <c r="B12">
        <v>31</v>
      </c>
      <c r="C12">
        <v>93</v>
      </c>
      <c r="D12">
        <v>81</v>
      </c>
      <c r="E12">
        <v>93</v>
      </c>
      <c r="F12" t="s">
        <v>21</v>
      </c>
      <c r="I12" s="3">
        <v>164</v>
      </c>
      <c r="J12" s="4">
        <v>93</v>
      </c>
      <c r="L12" s="3">
        <v>137</v>
      </c>
      <c r="M12" s="4">
        <v>7</v>
      </c>
      <c r="O12" s="7" t="s">
        <v>34</v>
      </c>
      <c r="P12" s="7">
        <v>1.6608814403248366</v>
      </c>
      <c r="Q12" s="7"/>
    </row>
    <row r="13" spans="1:21" x14ac:dyDescent="0.25">
      <c r="A13">
        <v>70</v>
      </c>
      <c r="B13">
        <v>32</v>
      </c>
      <c r="C13">
        <v>47</v>
      </c>
      <c r="D13">
        <v>48</v>
      </c>
      <c r="E13">
        <v>47</v>
      </c>
      <c r="F13" t="s">
        <v>21</v>
      </c>
      <c r="I13" s="3">
        <v>70</v>
      </c>
      <c r="J13" s="4">
        <v>47</v>
      </c>
      <c r="L13" s="3">
        <v>153</v>
      </c>
      <c r="M13" s="4">
        <v>20</v>
      </c>
      <c r="O13" s="12" t="s">
        <v>35</v>
      </c>
      <c r="P13" s="12">
        <v>3.7251582144989846E-7</v>
      </c>
      <c r="Q13" s="7"/>
      <c r="S13" s="9"/>
      <c r="T13" s="9" t="s">
        <v>53</v>
      </c>
      <c r="U13" s="9" t="s">
        <v>54</v>
      </c>
    </row>
    <row r="14" spans="1:21" ht="15.75" thickBot="1" x14ac:dyDescent="0.3">
      <c r="A14">
        <v>95</v>
      </c>
      <c r="B14">
        <v>32</v>
      </c>
      <c r="C14">
        <v>42</v>
      </c>
      <c r="D14">
        <v>60</v>
      </c>
      <c r="E14">
        <v>42</v>
      </c>
      <c r="F14" t="s">
        <v>21</v>
      </c>
      <c r="I14" s="3">
        <v>95</v>
      </c>
      <c r="J14" s="4">
        <v>42</v>
      </c>
      <c r="L14" s="3">
        <v>27</v>
      </c>
      <c r="M14" s="4">
        <v>32</v>
      </c>
      <c r="O14" s="8" t="s">
        <v>36</v>
      </c>
      <c r="P14" s="8">
        <v>1.9849843115224561</v>
      </c>
      <c r="Q14" s="8"/>
      <c r="S14" t="s">
        <v>27</v>
      </c>
      <c r="T14">
        <v>59.895522388059703</v>
      </c>
      <c r="U14">
        <v>37.475000000000001</v>
      </c>
    </row>
    <row r="15" spans="1:21" x14ac:dyDescent="0.25">
      <c r="A15">
        <v>138</v>
      </c>
      <c r="B15">
        <v>32</v>
      </c>
      <c r="C15">
        <v>73</v>
      </c>
      <c r="D15">
        <v>73</v>
      </c>
      <c r="E15">
        <v>73</v>
      </c>
      <c r="F15" t="s">
        <v>21</v>
      </c>
      <c r="I15" s="3">
        <v>138</v>
      </c>
      <c r="J15" s="4">
        <v>73</v>
      </c>
      <c r="L15" s="3">
        <v>77</v>
      </c>
      <c r="M15" s="4">
        <v>53</v>
      </c>
      <c r="S15" t="s">
        <v>28</v>
      </c>
      <c r="T15">
        <v>539.64043419267307</v>
      </c>
      <c r="U15">
        <v>352.2557692307692</v>
      </c>
    </row>
    <row r="16" spans="1:21" x14ac:dyDescent="0.25">
      <c r="A16">
        <v>142</v>
      </c>
      <c r="B16">
        <v>32</v>
      </c>
      <c r="C16">
        <v>93</v>
      </c>
      <c r="D16">
        <v>75</v>
      </c>
      <c r="E16">
        <v>93</v>
      </c>
      <c r="F16" t="s">
        <v>21</v>
      </c>
      <c r="I16" s="3">
        <v>142</v>
      </c>
      <c r="J16" s="4">
        <v>93</v>
      </c>
      <c r="L16" s="3">
        <v>197</v>
      </c>
      <c r="M16" s="4">
        <v>28</v>
      </c>
      <c r="O16" t="s">
        <v>41</v>
      </c>
      <c r="P16">
        <f>P7+Q7</f>
        <v>107</v>
      </c>
      <c r="S16" t="s">
        <v>29</v>
      </c>
      <c r="T16">
        <v>67</v>
      </c>
      <c r="U16">
        <v>40</v>
      </c>
    </row>
    <row r="17" spans="1:21" x14ac:dyDescent="0.25">
      <c r="A17">
        <v>144</v>
      </c>
      <c r="B17">
        <v>32</v>
      </c>
      <c r="C17">
        <v>87</v>
      </c>
      <c r="D17">
        <v>76</v>
      </c>
      <c r="E17">
        <v>87</v>
      </c>
      <c r="F17" t="s">
        <v>21</v>
      </c>
      <c r="I17" s="3">
        <v>144</v>
      </c>
      <c r="J17" s="4">
        <v>87</v>
      </c>
      <c r="L17" s="3">
        <v>23</v>
      </c>
      <c r="M17" s="4">
        <v>5</v>
      </c>
      <c r="O17" t="s">
        <v>42</v>
      </c>
      <c r="P17">
        <f>P5-Q5</f>
        <v>22.420522388059702</v>
      </c>
      <c r="S17" t="s">
        <v>47</v>
      </c>
      <c r="T17">
        <v>2.838016003953574</v>
      </c>
      <c r="U17">
        <v>2.9675569465082265</v>
      </c>
    </row>
    <row r="18" spans="1:21" x14ac:dyDescent="0.25">
      <c r="A18">
        <v>148</v>
      </c>
      <c r="B18">
        <v>32</v>
      </c>
      <c r="C18">
        <v>74</v>
      </c>
      <c r="D18">
        <v>77</v>
      </c>
      <c r="E18">
        <v>74</v>
      </c>
      <c r="F18" t="s">
        <v>21</v>
      </c>
      <c r="I18" s="3">
        <v>148</v>
      </c>
      <c r="J18" s="4">
        <v>74</v>
      </c>
      <c r="L18" s="3">
        <v>84</v>
      </c>
      <c r="M18" s="4">
        <v>44</v>
      </c>
      <c r="O18" s="10" t="s">
        <v>43</v>
      </c>
      <c r="P18">
        <f>SQRT((P6/P7)+(Q6/Q7))</f>
        <v>4.1061818115453486</v>
      </c>
      <c r="S18" t="s">
        <v>46</v>
      </c>
      <c r="T18">
        <v>5.6334172436974974</v>
      </c>
      <c r="U18">
        <v>5.8905539823683144</v>
      </c>
    </row>
    <row r="19" spans="1:21" x14ac:dyDescent="0.25">
      <c r="A19">
        <v>170</v>
      </c>
      <c r="B19">
        <v>32</v>
      </c>
      <c r="C19">
        <v>63</v>
      </c>
      <c r="D19">
        <v>87</v>
      </c>
      <c r="E19">
        <v>63</v>
      </c>
      <c r="F19" t="s">
        <v>21</v>
      </c>
      <c r="I19" s="3">
        <v>170</v>
      </c>
      <c r="J19" s="4">
        <v>63</v>
      </c>
      <c r="L19" s="3">
        <v>183</v>
      </c>
      <c r="M19" s="4">
        <v>15</v>
      </c>
      <c r="S19" t="s">
        <v>45</v>
      </c>
      <c r="T19">
        <v>5.6334172436974974</v>
      </c>
      <c r="U19">
        <v>5.8905539823683144</v>
      </c>
    </row>
    <row r="20" spans="1:21" x14ac:dyDescent="0.25">
      <c r="A20">
        <v>182</v>
      </c>
      <c r="B20">
        <v>32</v>
      </c>
      <c r="C20">
        <v>86</v>
      </c>
      <c r="D20">
        <v>97</v>
      </c>
      <c r="E20">
        <v>86</v>
      </c>
      <c r="F20" t="s">
        <v>21</v>
      </c>
      <c r="I20" s="3">
        <v>182</v>
      </c>
      <c r="J20" s="4">
        <v>86</v>
      </c>
      <c r="L20" s="3">
        <v>56</v>
      </c>
      <c r="M20" s="4">
        <v>41</v>
      </c>
      <c r="O20" s="10" t="s">
        <v>44</v>
      </c>
      <c r="P20">
        <f>P18*P14</f>
        <v>8.1507064761763761</v>
      </c>
    </row>
    <row r="21" spans="1:21" x14ac:dyDescent="0.25">
      <c r="A21">
        <v>192</v>
      </c>
      <c r="B21">
        <v>32</v>
      </c>
      <c r="C21">
        <v>69</v>
      </c>
      <c r="D21">
        <v>103</v>
      </c>
      <c r="E21">
        <v>69</v>
      </c>
      <c r="F21" t="s">
        <v>21</v>
      </c>
      <c r="I21" s="3">
        <v>192</v>
      </c>
      <c r="J21" s="4">
        <v>69</v>
      </c>
      <c r="L21" s="3">
        <v>72</v>
      </c>
      <c r="M21" s="4">
        <v>42</v>
      </c>
      <c r="O21" t="s">
        <v>45</v>
      </c>
      <c r="P21">
        <f>P17-P20</f>
        <v>14.269815911883326</v>
      </c>
    </row>
    <row r="22" spans="1:21" x14ac:dyDescent="0.25">
      <c r="A22">
        <v>198</v>
      </c>
      <c r="B22">
        <v>32</v>
      </c>
      <c r="C22">
        <v>74</v>
      </c>
      <c r="D22">
        <v>126</v>
      </c>
      <c r="E22">
        <v>74</v>
      </c>
      <c r="F22" t="s">
        <v>21</v>
      </c>
      <c r="I22" s="3">
        <v>198</v>
      </c>
      <c r="J22" s="4">
        <v>74</v>
      </c>
      <c r="L22" s="3">
        <v>97</v>
      </c>
      <c r="M22" s="4">
        <v>47</v>
      </c>
      <c r="O22" t="s">
        <v>46</v>
      </c>
      <c r="P22">
        <f>P17+P20</f>
        <v>30.571228864236076</v>
      </c>
    </row>
    <row r="23" spans="1:21" x14ac:dyDescent="0.25">
      <c r="A23">
        <v>199</v>
      </c>
      <c r="B23">
        <v>32</v>
      </c>
      <c r="C23">
        <v>18</v>
      </c>
      <c r="D23">
        <v>137</v>
      </c>
      <c r="E23">
        <v>18</v>
      </c>
      <c r="F23" t="s">
        <v>21</v>
      </c>
      <c r="I23" s="3">
        <v>199</v>
      </c>
      <c r="J23" s="4">
        <v>18</v>
      </c>
      <c r="L23" s="3">
        <v>131</v>
      </c>
      <c r="M23" s="4">
        <v>9</v>
      </c>
    </row>
    <row r="24" spans="1:21" x14ac:dyDescent="0.25">
      <c r="A24">
        <v>52</v>
      </c>
      <c r="B24">
        <v>33</v>
      </c>
      <c r="C24">
        <v>60</v>
      </c>
      <c r="D24">
        <v>42</v>
      </c>
      <c r="E24">
        <v>60</v>
      </c>
      <c r="F24" t="s">
        <v>21</v>
      </c>
      <c r="I24" s="3">
        <v>52</v>
      </c>
      <c r="J24" s="4">
        <v>60</v>
      </c>
      <c r="L24" s="3">
        <v>155</v>
      </c>
      <c r="M24" s="4">
        <v>16</v>
      </c>
    </row>
    <row r="25" spans="1:21" x14ac:dyDescent="0.25">
      <c r="A25">
        <v>168</v>
      </c>
      <c r="B25">
        <v>33</v>
      </c>
      <c r="C25">
        <v>95</v>
      </c>
      <c r="D25">
        <v>86</v>
      </c>
      <c r="E25">
        <v>95</v>
      </c>
      <c r="F25" t="s">
        <v>21</v>
      </c>
      <c r="I25" s="3">
        <v>168</v>
      </c>
      <c r="J25" s="4">
        <v>95</v>
      </c>
      <c r="L25" s="3">
        <v>195</v>
      </c>
      <c r="M25" s="4">
        <v>16</v>
      </c>
    </row>
    <row r="26" spans="1:21" x14ac:dyDescent="0.25">
      <c r="A26">
        <v>193</v>
      </c>
      <c r="B26">
        <v>33</v>
      </c>
      <c r="C26">
        <v>8</v>
      </c>
      <c r="D26">
        <v>113</v>
      </c>
      <c r="E26">
        <v>8</v>
      </c>
      <c r="F26" t="s">
        <v>21</v>
      </c>
      <c r="I26" s="3">
        <v>193</v>
      </c>
      <c r="J26" s="4">
        <v>8</v>
      </c>
      <c r="L26" s="3">
        <v>43</v>
      </c>
      <c r="M26" s="4">
        <v>36</v>
      </c>
      <c r="N26" s="4"/>
      <c r="O26" t="s">
        <v>26</v>
      </c>
    </row>
    <row r="27" spans="1:21" ht="15.75" thickBot="1" x14ac:dyDescent="0.3">
      <c r="A27">
        <v>89</v>
      </c>
      <c r="B27">
        <v>34</v>
      </c>
      <c r="C27">
        <v>60</v>
      </c>
      <c r="D27">
        <v>58</v>
      </c>
      <c r="E27">
        <v>60</v>
      </c>
      <c r="F27" t="s">
        <v>21</v>
      </c>
      <c r="I27" s="3">
        <v>89</v>
      </c>
      <c r="J27" s="4">
        <v>60</v>
      </c>
      <c r="L27" s="3">
        <v>86</v>
      </c>
      <c r="M27" s="4">
        <v>46</v>
      </c>
      <c r="N27" s="4"/>
    </row>
    <row r="28" spans="1:21" x14ac:dyDescent="0.25">
      <c r="A28">
        <v>149</v>
      </c>
      <c r="B28">
        <v>34</v>
      </c>
      <c r="C28">
        <v>22</v>
      </c>
      <c r="D28">
        <v>78</v>
      </c>
      <c r="E28">
        <v>22</v>
      </c>
      <c r="F28" t="s">
        <v>21</v>
      </c>
      <c r="I28" s="3">
        <v>149</v>
      </c>
      <c r="J28" s="4">
        <v>22</v>
      </c>
      <c r="L28" s="3">
        <v>93</v>
      </c>
      <c r="M28" s="4">
        <v>49</v>
      </c>
      <c r="N28" s="4"/>
      <c r="O28" s="9"/>
      <c r="P28" s="9" t="s">
        <v>53</v>
      </c>
      <c r="Q28" s="9" t="s">
        <v>55</v>
      </c>
      <c r="S28" s="9"/>
      <c r="T28" s="9" t="s">
        <v>53</v>
      </c>
      <c r="U28" s="9" t="s">
        <v>55</v>
      </c>
    </row>
    <row r="29" spans="1:21" x14ac:dyDescent="0.25">
      <c r="A29">
        <v>150</v>
      </c>
      <c r="B29">
        <v>34</v>
      </c>
      <c r="C29">
        <v>90</v>
      </c>
      <c r="D29">
        <v>78</v>
      </c>
      <c r="E29">
        <v>90</v>
      </c>
      <c r="F29" t="s">
        <v>21</v>
      </c>
      <c r="I29" s="3">
        <v>150</v>
      </c>
      <c r="J29" s="4">
        <v>90</v>
      </c>
      <c r="L29" s="3">
        <v>99</v>
      </c>
      <c r="M29" s="4">
        <v>42</v>
      </c>
      <c r="N29" s="4"/>
      <c r="O29" s="7" t="s">
        <v>27</v>
      </c>
      <c r="P29" s="7">
        <v>61.032258064516128</v>
      </c>
      <c r="Q29" s="7">
        <v>57.5</v>
      </c>
      <c r="S29" s="7" t="s">
        <v>27</v>
      </c>
      <c r="T29" s="7">
        <v>61.032258064516128</v>
      </c>
      <c r="U29" s="7">
        <v>57.5</v>
      </c>
    </row>
    <row r="30" spans="1:21" x14ac:dyDescent="0.25">
      <c r="A30">
        <v>159</v>
      </c>
      <c r="B30">
        <v>34</v>
      </c>
      <c r="C30">
        <v>1</v>
      </c>
      <c r="D30">
        <v>78</v>
      </c>
      <c r="E30">
        <v>1</v>
      </c>
      <c r="F30" t="s">
        <v>21</v>
      </c>
      <c r="I30" s="3">
        <v>159</v>
      </c>
      <c r="J30" s="4">
        <v>1</v>
      </c>
      <c r="L30" s="3">
        <v>147</v>
      </c>
      <c r="M30" s="4">
        <v>36</v>
      </c>
      <c r="N30" s="4"/>
      <c r="O30" s="7" t="s">
        <v>28</v>
      </c>
      <c r="P30" s="7">
        <v>556.39238498149132</v>
      </c>
      <c r="Q30" s="7">
        <v>833.77966101694915</v>
      </c>
      <c r="S30" s="7" t="s">
        <v>28</v>
      </c>
      <c r="T30" s="7">
        <v>556.39238498149132</v>
      </c>
      <c r="U30" s="7">
        <v>833.77966101694915</v>
      </c>
    </row>
    <row r="31" spans="1:21" x14ac:dyDescent="0.25">
      <c r="A31">
        <v>191</v>
      </c>
      <c r="B31">
        <v>34</v>
      </c>
      <c r="C31">
        <v>23</v>
      </c>
      <c r="D31">
        <v>103</v>
      </c>
      <c r="E31">
        <v>23</v>
      </c>
      <c r="F31" t="s">
        <v>21</v>
      </c>
      <c r="I31" s="3">
        <v>191</v>
      </c>
      <c r="J31" s="4">
        <v>23</v>
      </c>
      <c r="L31" s="3">
        <v>35</v>
      </c>
      <c r="M31" s="4">
        <v>14</v>
      </c>
      <c r="N31" s="4"/>
      <c r="O31" s="13" t="s">
        <v>29</v>
      </c>
      <c r="P31" s="13">
        <v>62</v>
      </c>
      <c r="Q31" s="13">
        <v>60</v>
      </c>
      <c r="S31" s="7" t="s">
        <v>29</v>
      </c>
      <c r="T31" s="7">
        <v>62</v>
      </c>
      <c r="U31" s="7">
        <v>60</v>
      </c>
    </row>
    <row r="32" spans="1:21" x14ac:dyDescent="0.25">
      <c r="A32">
        <v>7</v>
      </c>
      <c r="B32">
        <v>35</v>
      </c>
      <c r="C32">
        <v>6</v>
      </c>
      <c r="D32">
        <v>18</v>
      </c>
      <c r="E32">
        <v>6</v>
      </c>
      <c r="F32" t="s">
        <v>21</v>
      </c>
      <c r="I32" s="3">
        <v>7</v>
      </c>
      <c r="J32" s="4">
        <v>6</v>
      </c>
      <c r="L32" s="3">
        <v>45</v>
      </c>
      <c r="M32" s="4">
        <v>28</v>
      </c>
      <c r="N32" s="4"/>
      <c r="O32" s="7" t="s">
        <v>30</v>
      </c>
      <c r="P32" s="7">
        <v>0</v>
      </c>
      <c r="Q32" s="7"/>
      <c r="S32" t="s">
        <v>47</v>
      </c>
      <c r="T32">
        <f>SQRT(T30)/SQRT(T31)</f>
        <v>2.9956753371331688</v>
      </c>
      <c r="U32">
        <f>SQRT(U30)/SQRT(U31)</f>
        <v>3.7277778479431709</v>
      </c>
    </row>
    <row r="33" spans="1:21" x14ac:dyDescent="0.25">
      <c r="A33">
        <v>12</v>
      </c>
      <c r="B33">
        <v>35</v>
      </c>
      <c r="C33">
        <v>99</v>
      </c>
      <c r="D33">
        <v>19</v>
      </c>
      <c r="E33">
        <v>99</v>
      </c>
      <c r="F33" t="s">
        <v>21</v>
      </c>
      <c r="I33" s="3">
        <v>12</v>
      </c>
      <c r="J33" s="4">
        <v>99</v>
      </c>
      <c r="L33" s="3">
        <v>51</v>
      </c>
      <c r="M33" s="4">
        <v>52</v>
      </c>
      <c r="N33" s="4"/>
      <c r="O33" s="7" t="s">
        <v>31</v>
      </c>
      <c r="P33" s="7">
        <v>114</v>
      </c>
      <c r="Q33" s="7"/>
      <c r="S33" t="s">
        <v>46</v>
      </c>
      <c r="T33">
        <f>T32*P38</f>
        <v>5.9344097700970444</v>
      </c>
      <c r="U33">
        <f>U32*P38</f>
        <v>7.3846992053404463</v>
      </c>
    </row>
    <row r="34" spans="1:21" x14ac:dyDescent="0.25">
      <c r="A34">
        <v>17</v>
      </c>
      <c r="B34">
        <v>35</v>
      </c>
      <c r="C34">
        <v>35</v>
      </c>
      <c r="D34">
        <v>21</v>
      </c>
      <c r="E34">
        <v>35</v>
      </c>
      <c r="F34" t="s">
        <v>21</v>
      </c>
      <c r="I34" s="3">
        <v>17</v>
      </c>
      <c r="J34" s="4">
        <v>35</v>
      </c>
      <c r="L34" s="3">
        <v>80</v>
      </c>
      <c r="M34" s="4">
        <v>42</v>
      </c>
      <c r="N34" s="4"/>
      <c r="O34" s="7" t="s">
        <v>32</v>
      </c>
      <c r="P34" s="7">
        <v>0.73861064115596364</v>
      </c>
      <c r="Q34" s="7"/>
      <c r="S34" t="s">
        <v>45</v>
      </c>
      <c r="T34">
        <f>T32*P38</f>
        <v>5.9344097700970444</v>
      </c>
      <c r="U34">
        <f>U32*P38</f>
        <v>7.3846992053404463</v>
      </c>
    </row>
    <row r="35" spans="1:21" x14ac:dyDescent="0.25">
      <c r="A35">
        <v>20</v>
      </c>
      <c r="B35">
        <v>35</v>
      </c>
      <c r="C35">
        <v>98</v>
      </c>
      <c r="D35">
        <v>23</v>
      </c>
      <c r="E35">
        <v>98</v>
      </c>
      <c r="F35" t="s">
        <v>21</v>
      </c>
      <c r="I35" s="3">
        <v>20</v>
      </c>
      <c r="J35" s="4">
        <v>98</v>
      </c>
      <c r="L35" s="3">
        <v>102</v>
      </c>
      <c r="M35" s="4">
        <v>48</v>
      </c>
      <c r="N35" s="4"/>
      <c r="O35" s="7" t="s">
        <v>33</v>
      </c>
      <c r="P35" s="7">
        <v>0.23083069756234043</v>
      </c>
      <c r="Q35" s="7"/>
    </row>
    <row r="36" spans="1:21" ht="15.75" thickBot="1" x14ac:dyDescent="0.3">
      <c r="A36">
        <v>21</v>
      </c>
      <c r="B36">
        <v>35</v>
      </c>
      <c r="C36">
        <v>35</v>
      </c>
      <c r="D36">
        <v>24</v>
      </c>
      <c r="E36">
        <v>35</v>
      </c>
      <c r="F36" t="s">
        <v>21</v>
      </c>
      <c r="I36" s="3">
        <v>21</v>
      </c>
      <c r="J36" s="4">
        <v>35</v>
      </c>
      <c r="L36" s="3">
        <v>105</v>
      </c>
      <c r="M36" s="4">
        <v>56</v>
      </c>
      <c r="N36" s="4"/>
      <c r="O36" s="7" t="s">
        <v>34</v>
      </c>
      <c r="P36" s="7">
        <v>1.6583299690677951</v>
      </c>
      <c r="Q36" s="7"/>
    </row>
    <row r="37" spans="1:21" x14ac:dyDescent="0.25">
      <c r="A37">
        <v>28</v>
      </c>
      <c r="B37">
        <v>35</v>
      </c>
      <c r="C37">
        <v>61</v>
      </c>
      <c r="D37">
        <v>28</v>
      </c>
      <c r="E37">
        <v>61</v>
      </c>
      <c r="F37" t="s">
        <v>21</v>
      </c>
      <c r="I37" s="3">
        <v>28</v>
      </c>
      <c r="J37" s="4">
        <v>61</v>
      </c>
      <c r="L37" s="3">
        <v>47</v>
      </c>
      <c r="M37" s="4">
        <v>55</v>
      </c>
      <c r="N37" s="4"/>
      <c r="O37" s="12" t="s">
        <v>35</v>
      </c>
      <c r="P37" s="12">
        <v>0.46166139512468085</v>
      </c>
      <c r="Q37" s="7"/>
      <c r="S37" s="9"/>
      <c r="T37" s="9" t="s">
        <v>53</v>
      </c>
      <c r="U37" s="9" t="s">
        <v>55</v>
      </c>
    </row>
    <row r="38" spans="1:21" ht="15.75" thickBot="1" x14ac:dyDescent="0.3">
      <c r="A38">
        <v>140</v>
      </c>
      <c r="B38">
        <v>35</v>
      </c>
      <c r="C38">
        <v>72</v>
      </c>
      <c r="D38">
        <v>74</v>
      </c>
      <c r="E38">
        <v>72</v>
      </c>
      <c r="F38" t="s">
        <v>21</v>
      </c>
      <c r="I38" s="3">
        <v>140</v>
      </c>
      <c r="J38" s="4">
        <v>72</v>
      </c>
      <c r="L38" s="3">
        <v>55</v>
      </c>
      <c r="M38" s="4">
        <v>45</v>
      </c>
      <c r="N38" s="4"/>
      <c r="O38" s="8" t="s">
        <v>36</v>
      </c>
      <c r="P38" s="8">
        <v>1.9809922979758596</v>
      </c>
      <c r="Q38" s="8"/>
      <c r="S38" t="s">
        <v>27</v>
      </c>
      <c r="T38">
        <v>61.032258064516128</v>
      </c>
      <c r="U38">
        <v>57.5</v>
      </c>
    </row>
    <row r="39" spans="1:21" x14ac:dyDescent="0.25">
      <c r="A39">
        <v>180</v>
      </c>
      <c r="B39">
        <v>35</v>
      </c>
      <c r="C39">
        <v>90</v>
      </c>
      <c r="D39">
        <v>93</v>
      </c>
      <c r="E39">
        <v>90</v>
      </c>
      <c r="F39" t="s">
        <v>21</v>
      </c>
      <c r="I39" s="3">
        <v>180</v>
      </c>
      <c r="J39" s="4">
        <v>90</v>
      </c>
      <c r="L39" s="3">
        <v>90</v>
      </c>
      <c r="M39" s="4">
        <v>46</v>
      </c>
      <c r="S39" t="s">
        <v>28</v>
      </c>
      <c r="T39">
        <v>556.39238498149132</v>
      </c>
      <c r="U39">
        <v>833.77966101694915</v>
      </c>
    </row>
    <row r="40" spans="1:21" x14ac:dyDescent="0.25">
      <c r="A40">
        <v>196</v>
      </c>
      <c r="B40">
        <v>35</v>
      </c>
      <c r="C40">
        <v>79</v>
      </c>
      <c r="D40">
        <v>120</v>
      </c>
      <c r="E40">
        <v>79</v>
      </c>
      <c r="F40" t="s">
        <v>21</v>
      </c>
      <c r="I40" s="3">
        <v>196</v>
      </c>
      <c r="J40" s="4">
        <v>79</v>
      </c>
      <c r="L40" s="3">
        <v>120</v>
      </c>
      <c r="M40" s="4">
        <v>57</v>
      </c>
      <c r="O40" t="s">
        <v>41</v>
      </c>
      <c r="P40">
        <f>P31+Q31</f>
        <v>122</v>
      </c>
      <c r="S40" t="s">
        <v>29</v>
      </c>
      <c r="T40">
        <v>62</v>
      </c>
      <c r="U40">
        <v>60</v>
      </c>
    </row>
    <row r="41" spans="1:21" x14ac:dyDescent="0.25">
      <c r="A41">
        <v>39</v>
      </c>
      <c r="B41">
        <v>36</v>
      </c>
      <c r="C41">
        <v>26</v>
      </c>
      <c r="D41">
        <v>37</v>
      </c>
      <c r="E41">
        <v>26</v>
      </c>
      <c r="F41" t="s">
        <v>21</v>
      </c>
      <c r="I41" s="3">
        <v>39</v>
      </c>
      <c r="J41" s="4">
        <v>26</v>
      </c>
      <c r="L41" s="3">
        <v>165</v>
      </c>
      <c r="M41" s="4">
        <v>26</v>
      </c>
      <c r="O41" t="s">
        <v>42</v>
      </c>
      <c r="P41">
        <f>P29-Q29</f>
        <v>3.5322580645161281</v>
      </c>
      <c r="S41" t="s">
        <v>47</v>
      </c>
      <c r="T41">
        <v>2.9956753371331688</v>
      </c>
      <c r="U41">
        <v>3.7277778479431709</v>
      </c>
    </row>
    <row r="42" spans="1:21" x14ac:dyDescent="0.25">
      <c r="A42">
        <v>166</v>
      </c>
      <c r="B42">
        <v>36</v>
      </c>
      <c r="C42">
        <v>75</v>
      </c>
      <c r="D42">
        <v>85</v>
      </c>
      <c r="E42">
        <v>75</v>
      </c>
      <c r="F42" t="s">
        <v>21</v>
      </c>
      <c r="I42" s="3">
        <v>166</v>
      </c>
      <c r="J42" s="4">
        <v>75</v>
      </c>
      <c r="L42" s="3" t="s">
        <v>10</v>
      </c>
      <c r="M42" s="4">
        <v>1248</v>
      </c>
      <c r="O42" s="10" t="s">
        <v>43</v>
      </c>
      <c r="P42">
        <f>SQRT((P30/P31)+(Q30/Q31))</f>
        <v>4.7823005352156347</v>
      </c>
      <c r="S42" t="s">
        <v>46</v>
      </c>
      <c r="T42">
        <v>5.9344097700970444</v>
      </c>
      <c r="U42">
        <v>7.3846992053404463</v>
      </c>
    </row>
    <row r="43" spans="1:21" x14ac:dyDescent="0.25">
      <c r="A43">
        <v>169</v>
      </c>
      <c r="B43">
        <v>36</v>
      </c>
      <c r="C43">
        <v>27</v>
      </c>
      <c r="D43">
        <v>87</v>
      </c>
      <c r="E43">
        <v>27</v>
      </c>
      <c r="F43" t="s">
        <v>21</v>
      </c>
      <c r="I43" s="3">
        <v>169</v>
      </c>
      <c r="J43" s="4">
        <v>27</v>
      </c>
      <c r="S43" t="s">
        <v>45</v>
      </c>
      <c r="T43">
        <v>5.9344097700970444</v>
      </c>
      <c r="U43">
        <v>7.3846992053404463</v>
      </c>
    </row>
    <row r="44" spans="1:21" x14ac:dyDescent="0.25">
      <c r="A44">
        <v>173</v>
      </c>
      <c r="B44">
        <v>36</v>
      </c>
      <c r="C44">
        <v>10</v>
      </c>
      <c r="D44">
        <v>87</v>
      </c>
      <c r="E44">
        <v>10</v>
      </c>
      <c r="F44" t="s">
        <v>21</v>
      </c>
      <c r="I44" s="3">
        <v>173</v>
      </c>
      <c r="J44" s="4">
        <v>10</v>
      </c>
      <c r="O44" s="10" t="s">
        <v>44</v>
      </c>
      <c r="P44">
        <f>P42*P38</f>
        <v>9.4737005268680043</v>
      </c>
    </row>
    <row r="45" spans="1:21" x14ac:dyDescent="0.25">
      <c r="A45">
        <v>174</v>
      </c>
      <c r="B45">
        <v>36</v>
      </c>
      <c r="C45">
        <v>92</v>
      </c>
      <c r="D45">
        <v>87</v>
      </c>
      <c r="E45">
        <v>92</v>
      </c>
      <c r="F45" t="s">
        <v>21</v>
      </c>
      <c r="I45" s="3">
        <v>174</v>
      </c>
      <c r="J45" s="4">
        <v>92</v>
      </c>
      <c r="O45" t="s">
        <v>45</v>
      </c>
      <c r="P45">
        <f>P41-P44</f>
        <v>-5.9414424623518762</v>
      </c>
    </row>
    <row r="46" spans="1:21" x14ac:dyDescent="0.25">
      <c r="A46">
        <v>190</v>
      </c>
      <c r="B46">
        <v>36</v>
      </c>
      <c r="C46">
        <v>85</v>
      </c>
      <c r="D46">
        <v>103</v>
      </c>
      <c r="E46">
        <v>85</v>
      </c>
      <c r="F46" t="s">
        <v>21</v>
      </c>
      <c r="I46" s="3">
        <v>190</v>
      </c>
      <c r="J46" s="4">
        <v>85</v>
      </c>
      <c r="O46" t="s">
        <v>46</v>
      </c>
      <c r="P46">
        <f>P41+P44</f>
        <v>13.005958591384132</v>
      </c>
    </row>
    <row r="47" spans="1:21" x14ac:dyDescent="0.25">
      <c r="A47">
        <v>15</v>
      </c>
      <c r="B47">
        <v>37</v>
      </c>
      <c r="C47">
        <v>13</v>
      </c>
      <c r="D47">
        <v>20</v>
      </c>
      <c r="E47">
        <v>13</v>
      </c>
      <c r="F47" t="s">
        <v>21</v>
      </c>
      <c r="I47" s="3">
        <v>15</v>
      </c>
      <c r="J47" s="4">
        <v>13</v>
      </c>
    </row>
    <row r="48" spans="1:21" x14ac:dyDescent="0.25">
      <c r="A48">
        <v>157</v>
      </c>
      <c r="B48">
        <v>37</v>
      </c>
      <c r="C48">
        <v>1</v>
      </c>
      <c r="D48">
        <v>78</v>
      </c>
      <c r="E48">
        <v>1</v>
      </c>
      <c r="F48" t="s">
        <v>21</v>
      </c>
      <c r="I48" s="3">
        <v>157</v>
      </c>
      <c r="J48" s="4">
        <v>1</v>
      </c>
    </row>
    <row r="49" spans="1:21" x14ac:dyDescent="0.25">
      <c r="A49">
        <v>181</v>
      </c>
      <c r="B49">
        <v>37</v>
      </c>
      <c r="C49">
        <v>32</v>
      </c>
      <c r="D49">
        <v>97</v>
      </c>
      <c r="E49">
        <v>32</v>
      </c>
      <c r="F49" t="s">
        <v>21</v>
      </c>
      <c r="I49" s="3">
        <v>181</v>
      </c>
      <c r="J49" s="4">
        <v>32</v>
      </c>
    </row>
    <row r="50" spans="1:21" x14ac:dyDescent="0.25">
      <c r="A50">
        <v>82</v>
      </c>
      <c r="B50">
        <v>38</v>
      </c>
      <c r="C50">
        <v>55</v>
      </c>
      <c r="D50">
        <v>54</v>
      </c>
      <c r="E50">
        <v>55</v>
      </c>
      <c r="F50" t="s">
        <v>21</v>
      </c>
      <c r="I50" s="3">
        <v>82</v>
      </c>
      <c r="J50" s="4">
        <v>55</v>
      </c>
    </row>
    <row r="51" spans="1:21" x14ac:dyDescent="0.25">
      <c r="A51">
        <v>113</v>
      </c>
      <c r="B51">
        <v>38</v>
      </c>
      <c r="C51">
        <v>42</v>
      </c>
      <c r="D51">
        <v>64</v>
      </c>
      <c r="E51">
        <v>42</v>
      </c>
      <c r="F51" t="s">
        <v>21</v>
      </c>
      <c r="I51" s="3">
        <v>113</v>
      </c>
      <c r="J51" s="4">
        <v>42</v>
      </c>
      <c r="O51" t="s">
        <v>26</v>
      </c>
    </row>
    <row r="52" spans="1:21" ht="15.75" thickBot="1" x14ac:dyDescent="0.3">
      <c r="A52">
        <v>122</v>
      </c>
      <c r="B52">
        <v>38</v>
      </c>
      <c r="C52">
        <v>40</v>
      </c>
      <c r="D52">
        <v>67</v>
      </c>
      <c r="E52">
        <v>40</v>
      </c>
      <c r="F52" t="s">
        <v>21</v>
      </c>
      <c r="I52" s="3">
        <v>122</v>
      </c>
      <c r="J52" s="4">
        <v>40</v>
      </c>
    </row>
    <row r="53" spans="1:21" x14ac:dyDescent="0.25">
      <c r="A53">
        <v>130</v>
      </c>
      <c r="B53">
        <v>38</v>
      </c>
      <c r="C53">
        <v>75</v>
      </c>
      <c r="D53">
        <v>71</v>
      </c>
      <c r="E53">
        <v>75</v>
      </c>
      <c r="F53" t="s">
        <v>21</v>
      </c>
      <c r="I53" s="3">
        <v>130</v>
      </c>
      <c r="J53" s="4">
        <v>75</v>
      </c>
      <c r="O53" s="9"/>
      <c r="P53" s="9" t="s">
        <v>55</v>
      </c>
      <c r="Q53" s="9" t="s">
        <v>56</v>
      </c>
      <c r="S53" s="9"/>
      <c r="T53" s="9" t="s">
        <v>55</v>
      </c>
      <c r="U53" s="9" t="s">
        <v>56</v>
      </c>
    </row>
    <row r="54" spans="1:21" x14ac:dyDescent="0.25">
      <c r="A54">
        <v>154</v>
      </c>
      <c r="B54">
        <v>38</v>
      </c>
      <c r="C54">
        <v>76</v>
      </c>
      <c r="D54">
        <v>78</v>
      </c>
      <c r="E54">
        <v>76</v>
      </c>
      <c r="F54" t="s">
        <v>21</v>
      </c>
      <c r="I54" s="3">
        <v>154</v>
      </c>
      <c r="J54" s="4">
        <v>76</v>
      </c>
      <c r="O54" s="7" t="s">
        <v>27</v>
      </c>
      <c r="P54" s="7">
        <v>57.5</v>
      </c>
      <c r="Q54" s="7">
        <v>33.729729729729726</v>
      </c>
      <c r="S54" s="7" t="s">
        <v>27</v>
      </c>
      <c r="T54" s="7">
        <v>57.5</v>
      </c>
      <c r="U54" s="7">
        <v>33.729729729729726</v>
      </c>
    </row>
    <row r="55" spans="1:21" x14ac:dyDescent="0.25">
      <c r="A55">
        <v>194</v>
      </c>
      <c r="B55">
        <v>38</v>
      </c>
      <c r="C55">
        <v>91</v>
      </c>
      <c r="D55">
        <v>113</v>
      </c>
      <c r="E55">
        <v>91</v>
      </c>
      <c r="F55" t="s">
        <v>21</v>
      </c>
      <c r="I55" s="3">
        <v>194</v>
      </c>
      <c r="J55" s="4">
        <v>91</v>
      </c>
      <c r="O55" s="7" t="s">
        <v>28</v>
      </c>
      <c r="P55" s="7">
        <v>833.77966101694915</v>
      </c>
      <c r="Q55" s="7">
        <v>243.59159159159168</v>
      </c>
      <c r="S55" s="7" t="s">
        <v>28</v>
      </c>
      <c r="T55" s="7">
        <v>833.77966101694915</v>
      </c>
      <c r="U55" s="7">
        <v>243.59159159159168</v>
      </c>
    </row>
    <row r="56" spans="1:21" x14ac:dyDescent="0.25">
      <c r="A56">
        <v>124</v>
      </c>
      <c r="B56">
        <v>39</v>
      </c>
      <c r="C56">
        <v>91</v>
      </c>
      <c r="D56">
        <v>69</v>
      </c>
      <c r="E56">
        <v>91</v>
      </c>
      <c r="F56" t="s">
        <v>21</v>
      </c>
      <c r="I56" s="3">
        <v>124</v>
      </c>
      <c r="J56" s="4">
        <v>91</v>
      </c>
      <c r="O56" s="13" t="s">
        <v>29</v>
      </c>
      <c r="P56" s="13">
        <v>60</v>
      </c>
      <c r="Q56" s="13">
        <v>37</v>
      </c>
      <c r="S56" s="13" t="s">
        <v>29</v>
      </c>
      <c r="T56" s="13">
        <v>60</v>
      </c>
      <c r="U56" s="13">
        <v>37</v>
      </c>
    </row>
    <row r="57" spans="1:21" x14ac:dyDescent="0.25">
      <c r="A57">
        <v>132</v>
      </c>
      <c r="B57">
        <v>39</v>
      </c>
      <c r="C57">
        <v>75</v>
      </c>
      <c r="D57">
        <v>71</v>
      </c>
      <c r="E57">
        <v>75</v>
      </c>
      <c r="F57" t="s">
        <v>21</v>
      </c>
      <c r="I57" s="3">
        <v>132</v>
      </c>
      <c r="J57" s="4">
        <v>75</v>
      </c>
      <c r="O57" s="7" t="s">
        <v>30</v>
      </c>
      <c r="P57" s="7">
        <v>0</v>
      </c>
      <c r="Q57" s="7"/>
      <c r="S57" t="s">
        <v>47</v>
      </c>
      <c r="T57">
        <f>SQRT(T55)/SQRT(T56)</f>
        <v>3.7277778479431709</v>
      </c>
      <c r="U57">
        <f>SQRT(U55)/SQRT(U56)</f>
        <v>2.5658442138022486</v>
      </c>
    </row>
    <row r="58" spans="1:21" x14ac:dyDescent="0.25">
      <c r="A58">
        <v>152</v>
      </c>
      <c r="B58">
        <v>39</v>
      </c>
      <c r="C58">
        <v>88</v>
      </c>
      <c r="D58">
        <v>78</v>
      </c>
      <c r="E58">
        <v>88</v>
      </c>
      <c r="F58" t="s">
        <v>21</v>
      </c>
      <c r="I58" s="3">
        <v>152</v>
      </c>
      <c r="J58" s="4">
        <v>88</v>
      </c>
      <c r="O58" s="7" t="s">
        <v>31</v>
      </c>
      <c r="P58" s="7">
        <v>94</v>
      </c>
      <c r="Q58" s="7"/>
      <c r="S58" t="s">
        <v>46</v>
      </c>
      <c r="T58">
        <f>T57*P63</f>
        <v>7.4015903031622141</v>
      </c>
      <c r="U58">
        <f>U57*P63</f>
        <v>5.0945438346821561</v>
      </c>
    </row>
    <row r="59" spans="1:21" x14ac:dyDescent="0.25">
      <c r="A59">
        <v>29</v>
      </c>
      <c r="B59">
        <v>40</v>
      </c>
      <c r="C59">
        <v>31</v>
      </c>
      <c r="D59">
        <v>29</v>
      </c>
      <c r="E59">
        <v>31</v>
      </c>
      <c r="F59" t="s">
        <v>21</v>
      </c>
      <c r="I59" s="3">
        <v>29</v>
      </c>
      <c r="J59" s="4">
        <v>31</v>
      </c>
      <c r="O59" s="7" t="s">
        <v>32</v>
      </c>
      <c r="P59" s="7">
        <v>5.2525521289411348</v>
      </c>
      <c r="Q59" s="7"/>
      <c r="S59" t="s">
        <v>45</v>
      </c>
      <c r="T59">
        <f>T57*P63</f>
        <v>7.4015903031622141</v>
      </c>
      <c r="U59">
        <f>U57*P63</f>
        <v>5.0945438346821561</v>
      </c>
    </row>
    <row r="60" spans="1:21" x14ac:dyDescent="0.25">
      <c r="A60">
        <v>78</v>
      </c>
      <c r="B60">
        <v>40</v>
      </c>
      <c r="C60">
        <v>48</v>
      </c>
      <c r="D60">
        <v>54</v>
      </c>
      <c r="E60">
        <v>48</v>
      </c>
      <c r="F60" t="s">
        <v>21</v>
      </c>
      <c r="I60" s="3">
        <v>78</v>
      </c>
      <c r="J60" s="4">
        <v>48</v>
      </c>
      <c r="O60" s="7" t="s">
        <v>33</v>
      </c>
      <c r="P60" s="7">
        <v>4.6551500535812022E-7</v>
      </c>
      <c r="Q60" s="7"/>
    </row>
    <row r="61" spans="1:21" ht="15.75" thickBot="1" x14ac:dyDescent="0.3">
      <c r="A61">
        <v>94</v>
      </c>
      <c r="B61">
        <v>40</v>
      </c>
      <c r="C61">
        <v>40</v>
      </c>
      <c r="D61">
        <v>60</v>
      </c>
      <c r="E61">
        <v>40</v>
      </c>
      <c r="F61" t="s">
        <v>21</v>
      </c>
      <c r="I61" s="3">
        <v>94</v>
      </c>
      <c r="J61" s="4">
        <v>40</v>
      </c>
      <c r="O61" s="7" t="s">
        <v>34</v>
      </c>
      <c r="P61" s="7">
        <v>1.6612258552965111</v>
      </c>
      <c r="Q61" s="7"/>
    </row>
    <row r="62" spans="1:21" x14ac:dyDescent="0.25">
      <c r="A62">
        <v>123</v>
      </c>
      <c r="B62">
        <v>40</v>
      </c>
      <c r="C62">
        <v>58</v>
      </c>
      <c r="D62">
        <v>69</v>
      </c>
      <c r="E62">
        <v>58</v>
      </c>
      <c r="F62" t="s">
        <v>21</v>
      </c>
      <c r="I62" s="3">
        <v>123</v>
      </c>
      <c r="J62" s="4">
        <v>58</v>
      </c>
      <c r="O62" s="12" t="s">
        <v>35</v>
      </c>
      <c r="P62" s="12">
        <v>9.3103001071624045E-7</v>
      </c>
      <c r="Q62" s="7"/>
      <c r="S62" s="9"/>
      <c r="T62" s="9" t="s">
        <v>55</v>
      </c>
      <c r="U62" s="9" t="s">
        <v>56</v>
      </c>
    </row>
    <row r="63" spans="1:21" ht="15.75" thickBot="1" x14ac:dyDescent="0.3">
      <c r="A63">
        <v>128</v>
      </c>
      <c r="B63">
        <v>40</v>
      </c>
      <c r="C63">
        <v>95</v>
      </c>
      <c r="D63">
        <v>71</v>
      </c>
      <c r="E63">
        <v>95</v>
      </c>
      <c r="F63" t="s">
        <v>21</v>
      </c>
      <c r="I63" s="3">
        <v>128</v>
      </c>
      <c r="J63" s="4">
        <v>95</v>
      </c>
      <c r="O63" s="8" t="s">
        <v>36</v>
      </c>
      <c r="P63" s="8">
        <v>1.9855234418666059</v>
      </c>
      <c r="Q63" s="8"/>
      <c r="S63" t="s">
        <v>27</v>
      </c>
      <c r="T63">
        <v>57.5</v>
      </c>
      <c r="U63">
        <v>33.729729729729726</v>
      </c>
    </row>
    <row r="64" spans="1:21" x14ac:dyDescent="0.25">
      <c r="A64">
        <v>171</v>
      </c>
      <c r="B64">
        <v>40</v>
      </c>
      <c r="C64">
        <v>13</v>
      </c>
      <c r="D64">
        <v>87</v>
      </c>
      <c r="E64">
        <v>13</v>
      </c>
      <c r="F64" t="s">
        <v>21</v>
      </c>
      <c r="I64" s="3">
        <v>171</v>
      </c>
      <c r="J64" s="4">
        <v>13</v>
      </c>
      <c r="S64" t="s">
        <v>28</v>
      </c>
      <c r="T64">
        <v>833.77966101694915</v>
      </c>
      <c r="U64">
        <v>243.59159159159168</v>
      </c>
    </row>
    <row r="65" spans="1:21" x14ac:dyDescent="0.25">
      <c r="A65">
        <v>185</v>
      </c>
      <c r="B65">
        <v>41</v>
      </c>
      <c r="C65">
        <v>39</v>
      </c>
      <c r="D65">
        <v>99</v>
      </c>
      <c r="E65">
        <v>39</v>
      </c>
      <c r="F65" t="s">
        <v>22</v>
      </c>
      <c r="I65" s="3" t="s">
        <v>10</v>
      </c>
      <c r="J65" s="4">
        <v>3450</v>
      </c>
      <c r="O65" t="s">
        <v>41</v>
      </c>
      <c r="P65">
        <f>P56+Q56</f>
        <v>97</v>
      </c>
      <c r="S65" t="s">
        <v>29</v>
      </c>
      <c r="T65">
        <v>60</v>
      </c>
      <c r="U65">
        <v>37</v>
      </c>
    </row>
    <row r="66" spans="1:21" x14ac:dyDescent="0.25">
      <c r="A66">
        <v>189</v>
      </c>
      <c r="B66">
        <v>41</v>
      </c>
      <c r="C66">
        <v>17</v>
      </c>
      <c r="D66">
        <v>103</v>
      </c>
      <c r="E66">
        <v>17</v>
      </c>
      <c r="F66" t="s">
        <v>22</v>
      </c>
      <c r="O66" t="s">
        <v>42</v>
      </c>
      <c r="P66">
        <f>P54-Q54</f>
        <v>23.770270270270274</v>
      </c>
      <c r="S66" t="s">
        <v>47</v>
      </c>
      <c r="T66">
        <v>3.7277778479431709</v>
      </c>
      <c r="U66">
        <v>2.5658442138022486</v>
      </c>
    </row>
    <row r="67" spans="1:21" x14ac:dyDescent="0.25">
      <c r="A67">
        <v>37</v>
      </c>
      <c r="B67">
        <v>42</v>
      </c>
      <c r="C67">
        <v>17</v>
      </c>
      <c r="D67">
        <v>34</v>
      </c>
      <c r="E67">
        <v>17</v>
      </c>
      <c r="F67" t="s">
        <v>22</v>
      </c>
      <c r="O67" s="10" t="s">
        <v>43</v>
      </c>
      <c r="P67">
        <f>SQRT((P55/P56)+(Q55/Q56))</f>
        <v>4.5254706068118811</v>
      </c>
      <c r="S67" t="s">
        <v>46</v>
      </c>
      <c r="T67">
        <v>7.4015903031622141</v>
      </c>
      <c r="U67">
        <v>5.0945438346821561</v>
      </c>
    </row>
    <row r="68" spans="1:21" x14ac:dyDescent="0.25">
      <c r="A68">
        <v>167</v>
      </c>
      <c r="B68">
        <v>42</v>
      </c>
      <c r="C68">
        <v>20</v>
      </c>
      <c r="D68">
        <v>86</v>
      </c>
      <c r="E68">
        <v>20</v>
      </c>
      <c r="F68" t="s">
        <v>22</v>
      </c>
      <c r="S68" t="s">
        <v>45</v>
      </c>
      <c r="T68">
        <v>7.4015903031622141</v>
      </c>
      <c r="U68">
        <v>5.0945438346821561</v>
      </c>
    </row>
    <row r="69" spans="1:21" x14ac:dyDescent="0.25">
      <c r="A69">
        <v>67</v>
      </c>
      <c r="B69">
        <v>43</v>
      </c>
      <c r="C69">
        <v>50</v>
      </c>
      <c r="D69">
        <v>48</v>
      </c>
      <c r="E69">
        <v>50</v>
      </c>
      <c r="F69" t="s">
        <v>22</v>
      </c>
      <c r="O69" s="10" t="s">
        <v>44</v>
      </c>
      <c r="P69">
        <f>P67*P63</f>
        <v>8.9854279753032831</v>
      </c>
    </row>
    <row r="70" spans="1:21" x14ac:dyDescent="0.25">
      <c r="A70">
        <v>127</v>
      </c>
      <c r="B70">
        <v>43</v>
      </c>
      <c r="C70">
        <v>35</v>
      </c>
      <c r="D70">
        <v>71</v>
      </c>
      <c r="E70">
        <v>35</v>
      </c>
      <c r="F70" t="s">
        <v>22</v>
      </c>
      <c r="O70" t="s">
        <v>45</v>
      </c>
      <c r="P70">
        <f>P66-P69</f>
        <v>14.784842294966991</v>
      </c>
    </row>
    <row r="71" spans="1:21" x14ac:dyDescent="0.25">
      <c r="A71">
        <v>151</v>
      </c>
      <c r="B71">
        <v>43</v>
      </c>
      <c r="C71">
        <v>17</v>
      </c>
      <c r="D71">
        <v>78</v>
      </c>
      <c r="E71">
        <v>17</v>
      </c>
      <c r="F71" t="s">
        <v>22</v>
      </c>
      <c r="O71" t="s">
        <v>46</v>
      </c>
      <c r="P71">
        <f>P66+P69</f>
        <v>32.755698245573555</v>
      </c>
    </row>
    <row r="72" spans="1:21" x14ac:dyDescent="0.25">
      <c r="A72">
        <v>137</v>
      </c>
      <c r="B72">
        <v>44</v>
      </c>
      <c r="C72">
        <v>7</v>
      </c>
      <c r="D72">
        <v>73</v>
      </c>
      <c r="E72">
        <v>7</v>
      </c>
      <c r="F72" t="s">
        <v>22</v>
      </c>
    </row>
    <row r="73" spans="1:21" x14ac:dyDescent="0.25">
      <c r="A73">
        <v>153</v>
      </c>
      <c r="B73">
        <v>44</v>
      </c>
      <c r="C73">
        <v>20</v>
      </c>
      <c r="D73">
        <v>78</v>
      </c>
      <c r="E73">
        <v>20</v>
      </c>
      <c r="F73" t="s">
        <v>22</v>
      </c>
    </row>
    <row r="74" spans="1:21" x14ac:dyDescent="0.25">
      <c r="A74">
        <v>27</v>
      </c>
      <c r="B74">
        <v>45</v>
      </c>
      <c r="C74">
        <v>32</v>
      </c>
      <c r="D74">
        <v>28</v>
      </c>
      <c r="E74">
        <v>32</v>
      </c>
      <c r="F74" t="s">
        <v>22</v>
      </c>
    </row>
    <row r="75" spans="1:21" x14ac:dyDescent="0.25">
      <c r="A75">
        <v>77</v>
      </c>
      <c r="B75">
        <v>45</v>
      </c>
      <c r="C75">
        <v>53</v>
      </c>
      <c r="D75">
        <v>54</v>
      </c>
      <c r="E75">
        <v>53</v>
      </c>
      <c r="F75" t="s">
        <v>22</v>
      </c>
    </row>
    <row r="76" spans="1:21" x14ac:dyDescent="0.25">
      <c r="A76">
        <v>197</v>
      </c>
      <c r="B76">
        <v>45</v>
      </c>
      <c r="C76">
        <v>28</v>
      </c>
      <c r="D76">
        <v>126</v>
      </c>
      <c r="E76">
        <v>28</v>
      </c>
      <c r="F76" t="s">
        <v>22</v>
      </c>
    </row>
    <row r="77" spans="1:21" x14ac:dyDescent="0.25">
      <c r="A77">
        <v>23</v>
      </c>
      <c r="B77">
        <v>46</v>
      </c>
      <c r="C77">
        <v>5</v>
      </c>
      <c r="D77">
        <v>25</v>
      </c>
      <c r="E77">
        <v>5</v>
      </c>
      <c r="F77" t="s">
        <v>22</v>
      </c>
    </row>
    <row r="78" spans="1:21" x14ac:dyDescent="0.25">
      <c r="A78">
        <v>84</v>
      </c>
      <c r="B78">
        <v>46</v>
      </c>
      <c r="C78">
        <v>44</v>
      </c>
      <c r="D78">
        <v>54</v>
      </c>
      <c r="E78">
        <v>44</v>
      </c>
      <c r="F78" t="s">
        <v>22</v>
      </c>
    </row>
    <row r="79" spans="1:21" x14ac:dyDescent="0.25">
      <c r="A79">
        <v>183</v>
      </c>
      <c r="B79">
        <v>46</v>
      </c>
      <c r="C79">
        <v>15</v>
      </c>
      <c r="D79">
        <v>98</v>
      </c>
      <c r="E79">
        <v>15</v>
      </c>
      <c r="F79" t="s">
        <v>22</v>
      </c>
    </row>
    <row r="80" spans="1:21" x14ac:dyDescent="0.25">
      <c r="A80">
        <v>56</v>
      </c>
      <c r="B80">
        <v>47</v>
      </c>
      <c r="C80">
        <v>41</v>
      </c>
      <c r="D80">
        <v>43</v>
      </c>
      <c r="E80">
        <v>41</v>
      </c>
      <c r="F80" t="s">
        <v>22</v>
      </c>
    </row>
    <row r="81" spans="1:6" x14ac:dyDescent="0.25">
      <c r="A81">
        <v>72</v>
      </c>
      <c r="B81">
        <v>47</v>
      </c>
      <c r="C81">
        <v>42</v>
      </c>
      <c r="D81">
        <v>49</v>
      </c>
      <c r="E81">
        <v>42</v>
      </c>
      <c r="F81" t="s">
        <v>22</v>
      </c>
    </row>
    <row r="82" spans="1:6" x14ac:dyDescent="0.25">
      <c r="A82">
        <v>97</v>
      </c>
      <c r="B82">
        <v>47</v>
      </c>
      <c r="C82">
        <v>47</v>
      </c>
      <c r="D82">
        <v>60</v>
      </c>
      <c r="E82">
        <v>47</v>
      </c>
      <c r="F82" t="s">
        <v>22</v>
      </c>
    </row>
    <row r="83" spans="1:6" x14ac:dyDescent="0.25">
      <c r="A83">
        <v>131</v>
      </c>
      <c r="B83">
        <v>47</v>
      </c>
      <c r="C83">
        <v>9</v>
      </c>
      <c r="D83">
        <v>71</v>
      </c>
      <c r="E83">
        <v>9</v>
      </c>
      <c r="F83" t="s">
        <v>22</v>
      </c>
    </row>
    <row r="84" spans="1:6" x14ac:dyDescent="0.25">
      <c r="A84">
        <v>155</v>
      </c>
      <c r="B84">
        <v>47</v>
      </c>
      <c r="C84">
        <v>16</v>
      </c>
      <c r="D84">
        <v>78</v>
      </c>
      <c r="E84">
        <v>16</v>
      </c>
      <c r="F84" t="s">
        <v>22</v>
      </c>
    </row>
    <row r="85" spans="1:6" x14ac:dyDescent="0.25">
      <c r="A85">
        <v>195</v>
      </c>
      <c r="B85">
        <v>47</v>
      </c>
      <c r="C85">
        <v>16</v>
      </c>
      <c r="D85">
        <v>120</v>
      </c>
      <c r="E85">
        <v>16</v>
      </c>
      <c r="F85" t="s">
        <v>22</v>
      </c>
    </row>
    <row r="86" spans="1:6" x14ac:dyDescent="0.25">
      <c r="A86">
        <v>43</v>
      </c>
      <c r="B86">
        <v>48</v>
      </c>
      <c r="C86">
        <v>36</v>
      </c>
      <c r="D86">
        <v>39</v>
      </c>
      <c r="E86">
        <v>36</v>
      </c>
      <c r="F86" t="s">
        <v>22</v>
      </c>
    </row>
    <row r="87" spans="1:6" x14ac:dyDescent="0.25">
      <c r="A87">
        <v>86</v>
      </c>
      <c r="B87">
        <v>48</v>
      </c>
      <c r="C87">
        <v>46</v>
      </c>
      <c r="D87">
        <v>54</v>
      </c>
      <c r="E87">
        <v>46</v>
      </c>
      <c r="F87" t="s">
        <v>22</v>
      </c>
    </row>
    <row r="88" spans="1:6" x14ac:dyDescent="0.25">
      <c r="A88">
        <v>93</v>
      </c>
      <c r="B88">
        <v>48</v>
      </c>
      <c r="C88">
        <v>49</v>
      </c>
      <c r="D88">
        <v>60</v>
      </c>
      <c r="E88">
        <v>49</v>
      </c>
      <c r="F88" t="s">
        <v>22</v>
      </c>
    </row>
    <row r="89" spans="1:6" x14ac:dyDescent="0.25">
      <c r="A89">
        <v>99</v>
      </c>
      <c r="B89">
        <v>48</v>
      </c>
      <c r="C89">
        <v>42</v>
      </c>
      <c r="D89">
        <v>61</v>
      </c>
      <c r="E89">
        <v>42</v>
      </c>
      <c r="F89" t="s">
        <v>22</v>
      </c>
    </row>
    <row r="90" spans="1:6" x14ac:dyDescent="0.25">
      <c r="A90">
        <v>147</v>
      </c>
      <c r="B90">
        <v>48</v>
      </c>
      <c r="C90">
        <v>36</v>
      </c>
      <c r="D90">
        <v>77</v>
      </c>
      <c r="E90">
        <v>36</v>
      </c>
      <c r="F90" t="s">
        <v>22</v>
      </c>
    </row>
    <row r="91" spans="1:6" x14ac:dyDescent="0.25">
      <c r="A91">
        <v>35</v>
      </c>
      <c r="B91">
        <v>49</v>
      </c>
      <c r="C91">
        <v>14</v>
      </c>
      <c r="D91">
        <v>33</v>
      </c>
      <c r="E91">
        <v>14</v>
      </c>
      <c r="F91" t="s">
        <v>22</v>
      </c>
    </row>
    <row r="92" spans="1:6" x14ac:dyDescent="0.25">
      <c r="A92">
        <v>45</v>
      </c>
      <c r="B92">
        <v>49</v>
      </c>
      <c r="C92">
        <v>28</v>
      </c>
      <c r="D92">
        <v>39</v>
      </c>
      <c r="E92">
        <v>28</v>
      </c>
      <c r="F92" t="s">
        <v>22</v>
      </c>
    </row>
    <row r="93" spans="1:6" x14ac:dyDescent="0.25">
      <c r="A93">
        <v>51</v>
      </c>
      <c r="B93">
        <v>49</v>
      </c>
      <c r="C93">
        <v>52</v>
      </c>
      <c r="D93">
        <v>42</v>
      </c>
      <c r="E93">
        <v>52</v>
      </c>
      <c r="F93" t="s">
        <v>22</v>
      </c>
    </row>
    <row r="94" spans="1:6" x14ac:dyDescent="0.25">
      <c r="A94">
        <v>80</v>
      </c>
      <c r="B94">
        <v>49</v>
      </c>
      <c r="C94">
        <v>42</v>
      </c>
      <c r="D94">
        <v>54</v>
      </c>
      <c r="E94">
        <v>42</v>
      </c>
      <c r="F94" t="s">
        <v>22</v>
      </c>
    </row>
    <row r="95" spans="1:6" x14ac:dyDescent="0.25">
      <c r="A95">
        <v>102</v>
      </c>
      <c r="B95">
        <v>49</v>
      </c>
      <c r="C95">
        <v>48</v>
      </c>
      <c r="D95">
        <v>62</v>
      </c>
      <c r="E95">
        <v>48</v>
      </c>
      <c r="F95" t="s">
        <v>22</v>
      </c>
    </row>
    <row r="96" spans="1:6" x14ac:dyDescent="0.25">
      <c r="A96">
        <v>105</v>
      </c>
      <c r="B96">
        <v>49</v>
      </c>
      <c r="C96">
        <v>56</v>
      </c>
      <c r="D96">
        <v>62</v>
      </c>
      <c r="E96">
        <v>56</v>
      </c>
      <c r="F96" t="s">
        <v>22</v>
      </c>
    </row>
    <row r="97" spans="1:6" x14ac:dyDescent="0.25">
      <c r="A97">
        <v>47</v>
      </c>
      <c r="B97">
        <v>50</v>
      </c>
      <c r="C97">
        <v>55</v>
      </c>
      <c r="D97">
        <v>40</v>
      </c>
      <c r="E97">
        <v>55</v>
      </c>
      <c r="F97" t="s">
        <v>22</v>
      </c>
    </row>
    <row r="98" spans="1:6" x14ac:dyDescent="0.25">
      <c r="A98">
        <v>55</v>
      </c>
      <c r="B98">
        <v>50</v>
      </c>
      <c r="C98">
        <v>45</v>
      </c>
      <c r="D98">
        <v>43</v>
      </c>
      <c r="E98">
        <v>45</v>
      </c>
      <c r="F98" t="s">
        <v>22</v>
      </c>
    </row>
    <row r="99" spans="1:6" x14ac:dyDescent="0.25">
      <c r="A99">
        <v>90</v>
      </c>
      <c r="B99">
        <v>50</v>
      </c>
      <c r="C99">
        <v>46</v>
      </c>
      <c r="D99">
        <v>58</v>
      </c>
      <c r="E99">
        <v>46</v>
      </c>
      <c r="F99" t="s">
        <v>22</v>
      </c>
    </row>
    <row r="100" spans="1:6" x14ac:dyDescent="0.25">
      <c r="A100">
        <v>120</v>
      </c>
      <c r="B100">
        <v>50</v>
      </c>
      <c r="C100">
        <v>57</v>
      </c>
      <c r="D100">
        <v>67</v>
      </c>
      <c r="E100">
        <v>57</v>
      </c>
      <c r="F100" t="s">
        <v>22</v>
      </c>
    </row>
    <row r="101" spans="1:6" x14ac:dyDescent="0.25">
      <c r="A101">
        <v>165</v>
      </c>
      <c r="B101">
        <v>50</v>
      </c>
      <c r="C101">
        <v>26</v>
      </c>
      <c r="D101">
        <v>85</v>
      </c>
      <c r="E101">
        <v>26</v>
      </c>
      <c r="F101" t="s">
        <v>22</v>
      </c>
    </row>
    <row r="102" spans="1:6" x14ac:dyDescent="0.25">
      <c r="A102">
        <v>57</v>
      </c>
      <c r="B102">
        <v>51</v>
      </c>
      <c r="C102">
        <v>50</v>
      </c>
      <c r="D102">
        <v>44</v>
      </c>
      <c r="E102">
        <v>50</v>
      </c>
    </row>
    <row r="103" spans="1:6" x14ac:dyDescent="0.25">
      <c r="A103">
        <v>119</v>
      </c>
      <c r="B103">
        <v>51</v>
      </c>
      <c r="C103">
        <v>43</v>
      </c>
      <c r="D103">
        <v>67</v>
      </c>
      <c r="E103">
        <v>43</v>
      </c>
    </row>
    <row r="104" spans="1:6" x14ac:dyDescent="0.25">
      <c r="A104">
        <v>19</v>
      </c>
      <c r="B104">
        <v>52</v>
      </c>
      <c r="C104">
        <v>29</v>
      </c>
      <c r="D104">
        <v>23</v>
      </c>
      <c r="E104">
        <v>29</v>
      </c>
    </row>
    <row r="105" spans="1:6" x14ac:dyDescent="0.25">
      <c r="A105">
        <v>175</v>
      </c>
      <c r="B105">
        <v>52</v>
      </c>
      <c r="C105">
        <v>13</v>
      </c>
      <c r="D105">
        <v>88</v>
      </c>
      <c r="E105">
        <v>13</v>
      </c>
    </row>
    <row r="106" spans="1:6" x14ac:dyDescent="0.25">
      <c r="A106">
        <v>33</v>
      </c>
      <c r="B106">
        <v>53</v>
      </c>
      <c r="C106">
        <v>4</v>
      </c>
      <c r="D106">
        <v>33</v>
      </c>
      <c r="E106">
        <v>4</v>
      </c>
    </row>
    <row r="107" spans="1:6" x14ac:dyDescent="0.25">
      <c r="A107">
        <v>60</v>
      </c>
      <c r="B107">
        <v>53</v>
      </c>
      <c r="C107">
        <v>46</v>
      </c>
      <c r="D107">
        <v>46</v>
      </c>
      <c r="E107">
        <v>46</v>
      </c>
    </row>
    <row r="108" spans="1:6" x14ac:dyDescent="0.25">
      <c r="A108">
        <v>25</v>
      </c>
      <c r="B108">
        <v>54</v>
      </c>
      <c r="C108">
        <v>14</v>
      </c>
      <c r="D108">
        <v>28</v>
      </c>
      <c r="E108">
        <v>14</v>
      </c>
    </row>
    <row r="109" spans="1:6" x14ac:dyDescent="0.25">
      <c r="A109">
        <v>64</v>
      </c>
      <c r="B109">
        <v>54</v>
      </c>
      <c r="C109">
        <v>59</v>
      </c>
      <c r="D109">
        <v>47</v>
      </c>
      <c r="E109">
        <v>59</v>
      </c>
    </row>
    <row r="110" spans="1:6" x14ac:dyDescent="0.25">
      <c r="A110">
        <v>108</v>
      </c>
      <c r="B110">
        <v>54</v>
      </c>
      <c r="C110">
        <v>46</v>
      </c>
      <c r="D110">
        <v>63</v>
      </c>
      <c r="E110">
        <v>46</v>
      </c>
    </row>
    <row r="111" spans="1:6" x14ac:dyDescent="0.25">
      <c r="A111">
        <v>187</v>
      </c>
      <c r="B111">
        <v>54</v>
      </c>
      <c r="C111">
        <v>24</v>
      </c>
      <c r="D111">
        <v>101</v>
      </c>
      <c r="E111">
        <v>24</v>
      </c>
    </row>
    <row r="112" spans="1:6" x14ac:dyDescent="0.25">
      <c r="A112">
        <v>87</v>
      </c>
      <c r="B112">
        <v>55</v>
      </c>
      <c r="C112">
        <v>58</v>
      </c>
      <c r="D112">
        <v>57</v>
      </c>
      <c r="E112">
        <v>58</v>
      </c>
    </row>
    <row r="113" spans="1:5" x14ac:dyDescent="0.25">
      <c r="A113">
        <v>161</v>
      </c>
      <c r="B113">
        <v>56</v>
      </c>
      <c r="C113">
        <v>35</v>
      </c>
      <c r="D113">
        <v>79</v>
      </c>
      <c r="E113">
        <v>35</v>
      </c>
    </row>
    <row r="114" spans="1:5" x14ac:dyDescent="0.25">
      <c r="A114">
        <v>81</v>
      </c>
      <c r="B114">
        <v>57</v>
      </c>
      <c r="C114">
        <v>51</v>
      </c>
      <c r="D114">
        <v>54</v>
      </c>
      <c r="E114">
        <v>51</v>
      </c>
    </row>
    <row r="115" spans="1:5" x14ac:dyDescent="0.25">
      <c r="A115">
        <v>141</v>
      </c>
      <c r="B115">
        <v>57</v>
      </c>
      <c r="C115">
        <v>5</v>
      </c>
      <c r="D115">
        <v>75</v>
      </c>
      <c r="E115">
        <v>5</v>
      </c>
    </row>
    <row r="116" spans="1:5" x14ac:dyDescent="0.25">
      <c r="A116">
        <v>13</v>
      </c>
      <c r="B116">
        <v>58</v>
      </c>
      <c r="C116">
        <v>15</v>
      </c>
      <c r="D116">
        <v>20</v>
      </c>
      <c r="E116">
        <v>15</v>
      </c>
    </row>
    <row r="117" spans="1:5" x14ac:dyDescent="0.25">
      <c r="A117">
        <v>177</v>
      </c>
      <c r="B117">
        <v>58</v>
      </c>
      <c r="C117">
        <v>15</v>
      </c>
      <c r="D117">
        <v>88</v>
      </c>
      <c r="E117">
        <v>15</v>
      </c>
    </row>
    <row r="118" spans="1:5" x14ac:dyDescent="0.25">
      <c r="A118">
        <v>54</v>
      </c>
      <c r="B118">
        <v>59</v>
      </c>
      <c r="C118">
        <v>60</v>
      </c>
      <c r="D118">
        <v>43</v>
      </c>
      <c r="E118">
        <v>60</v>
      </c>
    </row>
    <row r="119" spans="1:5" x14ac:dyDescent="0.25">
      <c r="A119">
        <v>75</v>
      </c>
      <c r="B119">
        <v>59</v>
      </c>
      <c r="C119">
        <v>47</v>
      </c>
      <c r="D119">
        <v>54</v>
      </c>
      <c r="E119">
        <v>47</v>
      </c>
    </row>
    <row r="120" spans="1:5" x14ac:dyDescent="0.25">
      <c r="A120">
        <v>129</v>
      </c>
      <c r="B120">
        <v>59</v>
      </c>
      <c r="C120">
        <v>11</v>
      </c>
      <c r="D120">
        <v>71</v>
      </c>
      <c r="E120">
        <v>11</v>
      </c>
    </row>
    <row r="121" spans="1:5" x14ac:dyDescent="0.25">
      <c r="A121">
        <v>179</v>
      </c>
      <c r="B121">
        <v>59</v>
      </c>
      <c r="C121">
        <v>14</v>
      </c>
      <c r="D121">
        <v>93</v>
      </c>
      <c r="E121">
        <v>14</v>
      </c>
    </row>
    <row r="122" spans="1:5" x14ac:dyDescent="0.25">
      <c r="A122">
        <v>31</v>
      </c>
      <c r="B122">
        <v>60</v>
      </c>
      <c r="C122">
        <v>4</v>
      </c>
      <c r="D122">
        <v>30</v>
      </c>
      <c r="E122">
        <v>4</v>
      </c>
    </row>
    <row r="123" spans="1:5" x14ac:dyDescent="0.25">
      <c r="A123">
        <v>73</v>
      </c>
      <c r="B123">
        <v>60</v>
      </c>
      <c r="C123">
        <v>49</v>
      </c>
      <c r="D123">
        <v>50</v>
      </c>
      <c r="E123">
        <v>49</v>
      </c>
    </row>
    <row r="124" spans="1:5" x14ac:dyDescent="0.25">
      <c r="A124">
        <v>74</v>
      </c>
      <c r="B124">
        <v>60</v>
      </c>
      <c r="C124">
        <v>56</v>
      </c>
      <c r="D124">
        <v>50</v>
      </c>
      <c r="E124">
        <v>56</v>
      </c>
    </row>
    <row r="125" spans="1:5" x14ac:dyDescent="0.25">
      <c r="A125">
        <v>65</v>
      </c>
      <c r="B125">
        <v>63</v>
      </c>
      <c r="C125">
        <v>51</v>
      </c>
      <c r="D125">
        <v>48</v>
      </c>
      <c r="E125">
        <v>51</v>
      </c>
    </row>
    <row r="126" spans="1:5" x14ac:dyDescent="0.25">
      <c r="A126">
        <v>117</v>
      </c>
      <c r="B126">
        <v>63</v>
      </c>
      <c r="C126">
        <v>43</v>
      </c>
      <c r="D126">
        <v>65</v>
      </c>
      <c r="E126">
        <v>43</v>
      </c>
    </row>
    <row r="127" spans="1:5" x14ac:dyDescent="0.25">
      <c r="A127">
        <v>9</v>
      </c>
      <c r="B127">
        <v>64</v>
      </c>
      <c r="C127">
        <v>3</v>
      </c>
      <c r="D127">
        <v>19</v>
      </c>
      <c r="E127">
        <v>3</v>
      </c>
    </row>
    <row r="128" spans="1:5" x14ac:dyDescent="0.25">
      <c r="A128">
        <v>41</v>
      </c>
      <c r="B128">
        <v>65</v>
      </c>
      <c r="C128">
        <v>35</v>
      </c>
      <c r="D128">
        <v>38</v>
      </c>
      <c r="E128">
        <v>35</v>
      </c>
    </row>
    <row r="129" spans="1:5" x14ac:dyDescent="0.25">
      <c r="A129">
        <v>111</v>
      </c>
      <c r="B129">
        <v>65</v>
      </c>
      <c r="C129">
        <v>52</v>
      </c>
      <c r="D129">
        <v>63</v>
      </c>
      <c r="E129">
        <v>52</v>
      </c>
    </row>
    <row r="130" spans="1:5" x14ac:dyDescent="0.25">
      <c r="A130">
        <v>107</v>
      </c>
      <c r="B130">
        <v>66</v>
      </c>
      <c r="C130">
        <v>50</v>
      </c>
      <c r="D130">
        <v>63</v>
      </c>
      <c r="E130">
        <v>50</v>
      </c>
    </row>
    <row r="131" spans="1:5" x14ac:dyDescent="0.25">
      <c r="A131">
        <v>110</v>
      </c>
      <c r="B131">
        <v>66</v>
      </c>
      <c r="C131">
        <v>48</v>
      </c>
      <c r="D131">
        <v>63</v>
      </c>
      <c r="E131">
        <v>48</v>
      </c>
    </row>
    <row r="132" spans="1:5" x14ac:dyDescent="0.25">
      <c r="A132">
        <v>11</v>
      </c>
      <c r="B132">
        <v>67</v>
      </c>
      <c r="C132">
        <v>14</v>
      </c>
      <c r="D132">
        <v>19</v>
      </c>
      <c r="E132">
        <v>14</v>
      </c>
    </row>
    <row r="133" spans="1:5" x14ac:dyDescent="0.25">
      <c r="A133">
        <v>63</v>
      </c>
      <c r="B133">
        <v>67</v>
      </c>
      <c r="C133">
        <v>52</v>
      </c>
      <c r="D133">
        <v>47</v>
      </c>
      <c r="E133">
        <v>52</v>
      </c>
    </row>
    <row r="134" spans="1:5" x14ac:dyDescent="0.25">
      <c r="A134">
        <v>83</v>
      </c>
      <c r="B134">
        <v>67</v>
      </c>
      <c r="C134">
        <v>41</v>
      </c>
      <c r="D134">
        <v>54</v>
      </c>
      <c r="E134">
        <v>41</v>
      </c>
    </row>
    <row r="135" spans="1:5" x14ac:dyDescent="0.25">
      <c r="A135">
        <v>103</v>
      </c>
      <c r="B135">
        <v>67</v>
      </c>
      <c r="C135">
        <v>59</v>
      </c>
      <c r="D135">
        <v>62</v>
      </c>
      <c r="E135">
        <v>59</v>
      </c>
    </row>
    <row r="136" spans="1:5" x14ac:dyDescent="0.25">
      <c r="A136">
        <v>68</v>
      </c>
      <c r="B136">
        <v>68</v>
      </c>
      <c r="C136">
        <v>48</v>
      </c>
      <c r="D136">
        <v>48</v>
      </c>
      <c r="E136">
        <v>48</v>
      </c>
    </row>
    <row r="137" spans="1:5" x14ac:dyDescent="0.25">
      <c r="A137">
        <v>91</v>
      </c>
      <c r="B137">
        <v>68</v>
      </c>
      <c r="C137">
        <v>55</v>
      </c>
      <c r="D137">
        <v>59</v>
      </c>
      <c r="E137">
        <v>55</v>
      </c>
    </row>
    <row r="138" spans="1:5" x14ac:dyDescent="0.25">
      <c r="A138">
        <v>109</v>
      </c>
      <c r="B138">
        <v>68</v>
      </c>
      <c r="C138">
        <v>43</v>
      </c>
      <c r="D138">
        <v>63</v>
      </c>
      <c r="E138">
        <v>43</v>
      </c>
    </row>
    <row r="139" spans="1:5" x14ac:dyDescent="0.25">
      <c r="A139">
        <v>58</v>
      </c>
      <c r="B139">
        <v>69</v>
      </c>
      <c r="C139">
        <v>46</v>
      </c>
      <c r="D139">
        <v>44</v>
      </c>
      <c r="E139">
        <v>46</v>
      </c>
    </row>
    <row r="140" spans="1:5" x14ac:dyDescent="0.25">
      <c r="A140">
        <v>61</v>
      </c>
      <c r="B140">
        <v>70</v>
      </c>
      <c r="C140">
        <v>56</v>
      </c>
      <c r="D140">
        <v>46</v>
      </c>
      <c r="E140">
        <v>56</v>
      </c>
    </row>
    <row r="141" spans="1:5" x14ac:dyDescent="0.25">
      <c r="A141">
        <v>71</v>
      </c>
      <c r="B141">
        <v>70</v>
      </c>
      <c r="C141">
        <v>55</v>
      </c>
      <c r="D141">
        <v>49</v>
      </c>
      <c r="E141">
        <v>55</v>
      </c>
    </row>
    <row r="142" spans="1:5" x14ac:dyDescent="0.25">
      <c r="A142">
        <v>34</v>
      </c>
      <c r="B142">
        <v>18</v>
      </c>
      <c r="C142">
        <v>92</v>
      </c>
      <c r="D142">
        <v>33</v>
      </c>
      <c r="E142">
        <v>92</v>
      </c>
    </row>
    <row r="143" spans="1:5" x14ac:dyDescent="0.25">
      <c r="A143">
        <v>66</v>
      </c>
      <c r="B143">
        <v>18</v>
      </c>
      <c r="C143">
        <v>59</v>
      </c>
      <c r="D143">
        <v>48</v>
      </c>
      <c r="E143">
        <v>59</v>
      </c>
    </row>
    <row r="144" spans="1:5" x14ac:dyDescent="0.25">
      <c r="A144">
        <v>92</v>
      </c>
      <c r="B144">
        <v>18</v>
      </c>
      <c r="C144">
        <v>41</v>
      </c>
      <c r="D144">
        <v>59</v>
      </c>
      <c r="E144">
        <v>41</v>
      </c>
    </row>
    <row r="145" spans="1:5" x14ac:dyDescent="0.25">
      <c r="A145">
        <v>115</v>
      </c>
      <c r="B145">
        <v>18</v>
      </c>
      <c r="C145">
        <v>48</v>
      </c>
      <c r="D145">
        <v>65</v>
      </c>
      <c r="E145">
        <v>48</v>
      </c>
    </row>
    <row r="146" spans="1:5" x14ac:dyDescent="0.25">
      <c r="A146">
        <v>1</v>
      </c>
      <c r="B146">
        <v>19</v>
      </c>
      <c r="C146">
        <v>39</v>
      </c>
      <c r="D146">
        <v>15</v>
      </c>
      <c r="E146">
        <v>39</v>
      </c>
    </row>
    <row r="147" spans="1:5" x14ac:dyDescent="0.25">
      <c r="A147">
        <v>62</v>
      </c>
      <c r="B147">
        <v>19</v>
      </c>
      <c r="C147">
        <v>55</v>
      </c>
      <c r="D147">
        <v>46</v>
      </c>
      <c r="E147">
        <v>55</v>
      </c>
    </row>
    <row r="148" spans="1:5" x14ac:dyDescent="0.25">
      <c r="A148">
        <v>69</v>
      </c>
      <c r="B148">
        <v>19</v>
      </c>
      <c r="C148">
        <v>59</v>
      </c>
      <c r="D148">
        <v>48</v>
      </c>
      <c r="E148">
        <v>59</v>
      </c>
    </row>
    <row r="149" spans="1:5" x14ac:dyDescent="0.25">
      <c r="A149">
        <v>112</v>
      </c>
      <c r="B149">
        <v>19</v>
      </c>
      <c r="C149">
        <v>54</v>
      </c>
      <c r="D149">
        <v>63</v>
      </c>
      <c r="E149">
        <v>54</v>
      </c>
    </row>
    <row r="150" spans="1:5" x14ac:dyDescent="0.25">
      <c r="A150">
        <v>114</v>
      </c>
      <c r="B150">
        <v>19</v>
      </c>
      <c r="C150">
        <v>46</v>
      </c>
      <c r="D150">
        <v>64</v>
      </c>
      <c r="E150">
        <v>46</v>
      </c>
    </row>
    <row r="151" spans="1:5" x14ac:dyDescent="0.25">
      <c r="A151">
        <v>116</v>
      </c>
      <c r="B151">
        <v>19</v>
      </c>
      <c r="C151">
        <v>50</v>
      </c>
      <c r="D151">
        <v>65</v>
      </c>
      <c r="E151">
        <v>50</v>
      </c>
    </row>
    <row r="152" spans="1:5" x14ac:dyDescent="0.25">
      <c r="A152">
        <v>139</v>
      </c>
      <c r="B152">
        <v>19</v>
      </c>
      <c r="C152">
        <v>10</v>
      </c>
      <c r="D152">
        <v>74</v>
      </c>
      <c r="E152">
        <v>10</v>
      </c>
    </row>
    <row r="153" spans="1:5" x14ac:dyDescent="0.25">
      <c r="A153">
        <v>163</v>
      </c>
      <c r="B153">
        <v>19</v>
      </c>
      <c r="C153">
        <v>5</v>
      </c>
      <c r="D153">
        <v>81</v>
      </c>
      <c r="E153">
        <v>5</v>
      </c>
    </row>
    <row r="154" spans="1:5" x14ac:dyDescent="0.25">
      <c r="A154">
        <v>3</v>
      </c>
      <c r="B154">
        <v>20</v>
      </c>
      <c r="C154">
        <v>6</v>
      </c>
      <c r="D154">
        <v>16</v>
      </c>
      <c r="E154">
        <v>6</v>
      </c>
    </row>
    <row r="155" spans="1:5" x14ac:dyDescent="0.25">
      <c r="A155">
        <v>18</v>
      </c>
      <c r="B155">
        <v>20</v>
      </c>
      <c r="C155">
        <v>66</v>
      </c>
      <c r="D155">
        <v>21</v>
      </c>
      <c r="E155">
        <v>66</v>
      </c>
    </row>
    <row r="156" spans="1:5" x14ac:dyDescent="0.25">
      <c r="A156">
        <v>40</v>
      </c>
      <c r="B156">
        <v>20</v>
      </c>
      <c r="C156">
        <v>75</v>
      </c>
      <c r="D156">
        <v>37</v>
      </c>
      <c r="E156">
        <v>75</v>
      </c>
    </row>
    <row r="157" spans="1:5" x14ac:dyDescent="0.25">
      <c r="A157">
        <v>100</v>
      </c>
      <c r="B157">
        <v>20</v>
      </c>
      <c r="C157">
        <v>49</v>
      </c>
      <c r="D157">
        <v>61</v>
      </c>
      <c r="E157">
        <v>49</v>
      </c>
    </row>
    <row r="158" spans="1:5" x14ac:dyDescent="0.25">
      <c r="A158">
        <v>135</v>
      </c>
      <c r="B158">
        <v>20</v>
      </c>
      <c r="C158">
        <v>5</v>
      </c>
      <c r="D158">
        <v>73</v>
      </c>
      <c r="E158">
        <v>5</v>
      </c>
    </row>
    <row r="159" spans="1:5" x14ac:dyDescent="0.25">
      <c r="A159">
        <v>2</v>
      </c>
      <c r="B159">
        <v>21</v>
      </c>
      <c r="C159">
        <v>81</v>
      </c>
      <c r="D159">
        <v>15</v>
      </c>
      <c r="E159">
        <v>81</v>
      </c>
    </row>
    <row r="160" spans="1:5" x14ac:dyDescent="0.25">
      <c r="A160">
        <v>32</v>
      </c>
      <c r="B160">
        <v>21</v>
      </c>
      <c r="C160">
        <v>73</v>
      </c>
      <c r="D160">
        <v>30</v>
      </c>
      <c r="E160">
        <v>73</v>
      </c>
    </row>
    <row r="161" spans="1:5" x14ac:dyDescent="0.25">
      <c r="A161">
        <v>36</v>
      </c>
      <c r="B161">
        <v>21</v>
      </c>
      <c r="C161">
        <v>81</v>
      </c>
      <c r="D161">
        <v>33</v>
      </c>
      <c r="E161">
        <v>81</v>
      </c>
    </row>
    <row r="162" spans="1:5" x14ac:dyDescent="0.25">
      <c r="A162">
        <v>85</v>
      </c>
      <c r="B162">
        <v>21</v>
      </c>
      <c r="C162">
        <v>57</v>
      </c>
      <c r="D162">
        <v>54</v>
      </c>
      <c r="E162">
        <v>57</v>
      </c>
    </row>
    <row r="163" spans="1:5" x14ac:dyDescent="0.25">
      <c r="A163">
        <v>106</v>
      </c>
      <c r="B163">
        <v>21</v>
      </c>
      <c r="C163">
        <v>42</v>
      </c>
      <c r="D163">
        <v>62</v>
      </c>
      <c r="E163">
        <v>42</v>
      </c>
    </row>
    <row r="164" spans="1:5" x14ac:dyDescent="0.25">
      <c r="A164">
        <v>6</v>
      </c>
      <c r="B164">
        <v>22</v>
      </c>
      <c r="C164">
        <v>76</v>
      </c>
      <c r="D164">
        <v>17</v>
      </c>
      <c r="E164">
        <v>76</v>
      </c>
    </row>
    <row r="165" spans="1:5" x14ac:dyDescent="0.25">
      <c r="A165">
        <v>16</v>
      </c>
      <c r="B165">
        <v>22</v>
      </c>
      <c r="C165">
        <v>79</v>
      </c>
      <c r="D165">
        <v>20</v>
      </c>
      <c r="E165">
        <v>79</v>
      </c>
    </row>
    <row r="166" spans="1:5" x14ac:dyDescent="0.25">
      <c r="A166">
        <v>88</v>
      </c>
      <c r="B166">
        <v>22</v>
      </c>
      <c r="C166">
        <v>55</v>
      </c>
      <c r="D166">
        <v>57</v>
      </c>
      <c r="E166">
        <v>55</v>
      </c>
    </row>
    <row r="167" spans="1:5" x14ac:dyDescent="0.25">
      <c r="A167">
        <v>4</v>
      </c>
      <c r="B167">
        <v>23</v>
      </c>
      <c r="C167">
        <v>77</v>
      </c>
      <c r="D167">
        <v>16</v>
      </c>
      <c r="E167">
        <v>77</v>
      </c>
    </row>
    <row r="168" spans="1:5" x14ac:dyDescent="0.25">
      <c r="A168">
        <v>8</v>
      </c>
      <c r="B168">
        <v>23</v>
      </c>
      <c r="C168">
        <v>94</v>
      </c>
      <c r="D168">
        <v>18</v>
      </c>
      <c r="E168">
        <v>94</v>
      </c>
    </row>
    <row r="169" spans="1:5" x14ac:dyDescent="0.25">
      <c r="A169">
        <v>30</v>
      </c>
      <c r="B169">
        <v>23</v>
      </c>
      <c r="C169">
        <v>87</v>
      </c>
      <c r="D169">
        <v>29</v>
      </c>
      <c r="E169">
        <v>87</v>
      </c>
    </row>
    <row r="170" spans="1:5" x14ac:dyDescent="0.25">
      <c r="A170">
        <v>79</v>
      </c>
      <c r="B170">
        <v>23</v>
      </c>
      <c r="C170">
        <v>52</v>
      </c>
      <c r="D170">
        <v>54</v>
      </c>
      <c r="E170">
        <v>52</v>
      </c>
    </row>
    <row r="171" spans="1:5" x14ac:dyDescent="0.25">
      <c r="A171">
        <v>101</v>
      </c>
      <c r="B171">
        <v>23</v>
      </c>
      <c r="C171">
        <v>41</v>
      </c>
      <c r="D171">
        <v>62</v>
      </c>
      <c r="E171">
        <v>41</v>
      </c>
    </row>
    <row r="172" spans="1:5" x14ac:dyDescent="0.25">
      <c r="A172">
        <v>125</v>
      </c>
      <c r="B172">
        <v>23</v>
      </c>
      <c r="C172">
        <v>29</v>
      </c>
      <c r="D172">
        <v>70</v>
      </c>
      <c r="E172">
        <v>29</v>
      </c>
    </row>
    <row r="173" spans="1:5" x14ac:dyDescent="0.25">
      <c r="A173">
        <v>14</v>
      </c>
      <c r="B173">
        <v>24</v>
      </c>
      <c r="C173">
        <v>77</v>
      </c>
      <c r="D173">
        <v>20</v>
      </c>
      <c r="E173">
        <v>77</v>
      </c>
    </row>
    <row r="174" spans="1:5" x14ac:dyDescent="0.25">
      <c r="A174">
        <v>42</v>
      </c>
      <c r="B174">
        <v>24</v>
      </c>
      <c r="C174">
        <v>92</v>
      </c>
      <c r="D174">
        <v>38</v>
      </c>
      <c r="E174">
        <v>92</v>
      </c>
    </row>
    <row r="175" spans="1:5" x14ac:dyDescent="0.25">
      <c r="A175">
        <v>46</v>
      </c>
      <c r="B175">
        <v>24</v>
      </c>
      <c r="C175">
        <v>65</v>
      </c>
      <c r="D175">
        <v>39</v>
      </c>
      <c r="E175">
        <v>65</v>
      </c>
    </row>
    <row r="176" spans="1:5" x14ac:dyDescent="0.25">
      <c r="A176">
        <v>96</v>
      </c>
      <c r="B176">
        <v>24</v>
      </c>
      <c r="C176">
        <v>52</v>
      </c>
      <c r="D176">
        <v>60</v>
      </c>
      <c r="E176">
        <v>52</v>
      </c>
    </row>
    <row r="177" spans="1:5" x14ac:dyDescent="0.25">
      <c r="A177">
        <v>22</v>
      </c>
      <c r="B177">
        <v>25</v>
      </c>
      <c r="C177">
        <v>73</v>
      </c>
      <c r="D177">
        <v>24</v>
      </c>
      <c r="E177">
        <v>73</v>
      </c>
    </row>
    <row r="178" spans="1:5" x14ac:dyDescent="0.25">
      <c r="A178">
        <v>133</v>
      </c>
      <c r="B178">
        <v>25</v>
      </c>
      <c r="C178">
        <v>34</v>
      </c>
      <c r="D178">
        <v>72</v>
      </c>
      <c r="E178">
        <v>34</v>
      </c>
    </row>
    <row r="179" spans="1:5" x14ac:dyDescent="0.25">
      <c r="A179">
        <v>145</v>
      </c>
      <c r="B179">
        <v>25</v>
      </c>
      <c r="C179">
        <v>12</v>
      </c>
      <c r="D179">
        <v>77</v>
      </c>
      <c r="E179">
        <v>12</v>
      </c>
    </row>
    <row r="180" spans="1:5" x14ac:dyDescent="0.25">
      <c r="A180">
        <v>76</v>
      </c>
      <c r="B180">
        <v>26</v>
      </c>
      <c r="C180">
        <v>54</v>
      </c>
      <c r="D180">
        <v>54</v>
      </c>
      <c r="E180">
        <v>54</v>
      </c>
    </row>
    <row r="181" spans="1:5" x14ac:dyDescent="0.25">
      <c r="A181">
        <v>104</v>
      </c>
      <c r="B181">
        <v>26</v>
      </c>
      <c r="C181">
        <v>55</v>
      </c>
      <c r="D181">
        <v>62</v>
      </c>
      <c r="E181">
        <v>55</v>
      </c>
    </row>
    <row r="182" spans="1:5" x14ac:dyDescent="0.25">
      <c r="A182">
        <v>48</v>
      </c>
      <c r="B182">
        <v>27</v>
      </c>
      <c r="C182">
        <v>47</v>
      </c>
      <c r="D182">
        <v>40</v>
      </c>
      <c r="E182">
        <v>47</v>
      </c>
    </row>
    <row r="183" spans="1:5" x14ac:dyDescent="0.25">
      <c r="A183">
        <v>59</v>
      </c>
      <c r="B183">
        <v>27</v>
      </c>
      <c r="C183">
        <v>51</v>
      </c>
      <c r="D183">
        <v>46</v>
      </c>
      <c r="E183">
        <v>51</v>
      </c>
    </row>
    <row r="184" spans="1:5" x14ac:dyDescent="0.25">
      <c r="A184">
        <v>98</v>
      </c>
      <c r="B184">
        <v>27</v>
      </c>
      <c r="C184">
        <v>50</v>
      </c>
      <c r="D184">
        <v>60</v>
      </c>
      <c r="E184">
        <v>50</v>
      </c>
    </row>
    <row r="185" spans="1:5" x14ac:dyDescent="0.25">
      <c r="A185">
        <v>121</v>
      </c>
      <c r="B185">
        <v>27</v>
      </c>
      <c r="C185">
        <v>56</v>
      </c>
      <c r="D185">
        <v>67</v>
      </c>
      <c r="E185">
        <v>56</v>
      </c>
    </row>
    <row r="186" spans="1:5" x14ac:dyDescent="0.25">
      <c r="A186">
        <v>156</v>
      </c>
      <c r="B186">
        <v>27</v>
      </c>
      <c r="C186">
        <v>89</v>
      </c>
      <c r="D186">
        <v>78</v>
      </c>
      <c r="E186">
        <v>89</v>
      </c>
    </row>
    <row r="187" spans="1:5" x14ac:dyDescent="0.25">
      <c r="A187">
        <v>178</v>
      </c>
      <c r="B187">
        <v>27</v>
      </c>
      <c r="C187">
        <v>69</v>
      </c>
      <c r="D187">
        <v>88</v>
      </c>
      <c r="E187">
        <v>69</v>
      </c>
    </row>
    <row r="188" spans="1:5" x14ac:dyDescent="0.25">
      <c r="A188">
        <v>143</v>
      </c>
      <c r="B188">
        <v>28</v>
      </c>
      <c r="C188">
        <v>40</v>
      </c>
      <c r="D188">
        <v>76</v>
      </c>
      <c r="E188">
        <v>40</v>
      </c>
    </row>
    <row r="189" spans="1:5" x14ac:dyDescent="0.25">
      <c r="A189">
        <v>146</v>
      </c>
      <c r="B189">
        <v>28</v>
      </c>
      <c r="C189">
        <v>97</v>
      </c>
      <c r="D189">
        <v>77</v>
      </c>
      <c r="E189">
        <v>97</v>
      </c>
    </row>
    <row r="190" spans="1:5" x14ac:dyDescent="0.25">
      <c r="A190">
        <v>172</v>
      </c>
      <c r="B190">
        <v>28</v>
      </c>
      <c r="C190">
        <v>75</v>
      </c>
      <c r="D190">
        <v>87</v>
      </c>
      <c r="E190">
        <v>75</v>
      </c>
    </row>
    <row r="191" spans="1:5" x14ac:dyDescent="0.25">
      <c r="A191">
        <v>188</v>
      </c>
      <c r="B191">
        <v>28</v>
      </c>
      <c r="C191">
        <v>68</v>
      </c>
      <c r="D191">
        <v>101</v>
      </c>
      <c r="E191">
        <v>68</v>
      </c>
    </row>
    <row r="192" spans="1:5" x14ac:dyDescent="0.25">
      <c r="A192">
        <v>26</v>
      </c>
      <c r="B192">
        <v>29</v>
      </c>
      <c r="C192">
        <v>82</v>
      </c>
      <c r="D192">
        <v>28</v>
      </c>
      <c r="E192">
        <v>82</v>
      </c>
    </row>
    <row r="193" spans="1:5" x14ac:dyDescent="0.25">
      <c r="A193">
        <v>49</v>
      </c>
      <c r="B193">
        <v>29</v>
      </c>
      <c r="C193">
        <v>42</v>
      </c>
      <c r="D193">
        <v>40</v>
      </c>
      <c r="E193">
        <v>42</v>
      </c>
    </row>
    <row r="194" spans="1:5" x14ac:dyDescent="0.25">
      <c r="A194">
        <v>136</v>
      </c>
      <c r="B194">
        <v>29</v>
      </c>
      <c r="C194">
        <v>88</v>
      </c>
      <c r="D194">
        <v>73</v>
      </c>
      <c r="E194">
        <v>88</v>
      </c>
    </row>
    <row r="195" spans="1:5" x14ac:dyDescent="0.25">
      <c r="A195">
        <v>162</v>
      </c>
      <c r="B195">
        <v>29</v>
      </c>
      <c r="C195">
        <v>83</v>
      </c>
      <c r="D195">
        <v>79</v>
      </c>
      <c r="E195">
        <v>83</v>
      </c>
    </row>
    <row r="196" spans="1:5" x14ac:dyDescent="0.25">
      <c r="A196">
        <v>184</v>
      </c>
      <c r="B196">
        <v>29</v>
      </c>
      <c r="C196">
        <v>88</v>
      </c>
      <c r="D196">
        <v>98</v>
      </c>
      <c r="E196">
        <v>88</v>
      </c>
    </row>
    <row r="197" spans="1:5" x14ac:dyDescent="0.25">
      <c r="A197">
        <v>10</v>
      </c>
      <c r="B197">
        <v>30</v>
      </c>
      <c r="C197">
        <v>72</v>
      </c>
      <c r="D197">
        <v>19</v>
      </c>
      <c r="E197">
        <v>72</v>
      </c>
    </row>
    <row r="198" spans="1:5" x14ac:dyDescent="0.25">
      <c r="A198">
        <v>38</v>
      </c>
      <c r="B198">
        <v>30</v>
      </c>
      <c r="C198">
        <v>73</v>
      </c>
      <c r="D198">
        <v>34</v>
      </c>
      <c r="E198">
        <v>73</v>
      </c>
    </row>
    <row r="199" spans="1:5" x14ac:dyDescent="0.25">
      <c r="A199">
        <v>158</v>
      </c>
      <c r="B199">
        <v>30</v>
      </c>
      <c r="C199">
        <v>78</v>
      </c>
      <c r="D199">
        <v>78</v>
      </c>
      <c r="E199">
        <v>78</v>
      </c>
    </row>
    <row r="200" spans="1:5" x14ac:dyDescent="0.25">
      <c r="A200">
        <v>160</v>
      </c>
      <c r="B200">
        <v>30</v>
      </c>
      <c r="C200">
        <v>73</v>
      </c>
      <c r="D200">
        <v>78</v>
      </c>
      <c r="E200">
        <v>73</v>
      </c>
    </row>
    <row r="201" spans="1:5" x14ac:dyDescent="0.25">
      <c r="A201">
        <v>176</v>
      </c>
      <c r="B201">
        <v>30</v>
      </c>
      <c r="C201">
        <v>86</v>
      </c>
      <c r="D201">
        <v>88</v>
      </c>
      <c r="E201">
        <v>86</v>
      </c>
    </row>
    <row r="202" spans="1:5" x14ac:dyDescent="0.25">
      <c r="A202">
        <v>186</v>
      </c>
      <c r="B202">
        <v>30</v>
      </c>
      <c r="C202">
        <v>97</v>
      </c>
      <c r="D202">
        <v>99</v>
      </c>
      <c r="E202">
        <v>97</v>
      </c>
    </row>
    <row r="203" spans="1:5" x14ac:dyDescent="0.25">
      <c r="A203">
        <v>200</v>
      </c>
      <c r="B203">
        <v>30</v>
      </c>
      <c r="C203">
        <v>83</v>
      </c>
      <c r="D203">
        <v>137</v>
      </c>
      <c r="E203">
        <v>83</v>
      </c>
    </row>
  </sheetData>
  <sortState xmlns:xlrd2="http://schemas.microsoft.com/office/spreadsheetml/2017/richdata2" ref="A5:E141">
    <sortCondition ref="B5:B141"/>
  </sortState>
  <mergeCells count="1">
    <mergeCell ref="A2:E2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Mall_Customers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2021-10-26T21:42:43Z</dcterms:created>
  <dcterms:modified xsi:type="dcterms:W3CDTF">2021-10-27T04:06:28Z</dcterms:modified>
</cp:coreProperties>
</file>